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9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1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4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avid\Documents\Darts\SeasonStartingJan2025\"/>
    </mc:Choice>
  </mc:AlternateContent>
  <xr:revisionPtr revIDLastSave="0" documentId="13_ncr:1_{76EE1C86-2244-44F8-B33D-F5D785301D70}" xr6:coauthVersionLast="47" xr6:coauthVersionMax="47" xr10:uidLastSave="{00000000-0000-0000-0000-000000000000}"/>
  <bookViews>
    <workbookView xWindow="-109" yWindow="-109" windowWidth="26301" windowHeight="14305" tabRatio="759" firstSheet="6" activeTab="10" xr2:uid="{1049C2D8-B8D5-4470-BC82-095F73AAB60A}"/>
  </bookViews>
  <sheets>
    <sheet name="Pairings" sheetId="69" r:id="rId1"/>
    <sheet name="Admin" sheetId="54" r:id="rId2"/>
    <sheet name="Players" sheetId="2" r:id="rId3"/>
    <sheet name="Teams" sheetId="3" r:id="rId4"/>
    <sheet name="Fixtures" sheetId="4" r:id="rId5"/>
    <sheet name="Player Wins-Losses" sheetId="5" r:id="rId6"/>
    <sheet name="Ongoing" sheetId="16" r:id="rId7"/>
    <sheet name="AwayGame" sheetId="26" r:id="rId8"/>
    <sheet name="HomeGame" sheetId="8" r:id="rId9"/>
    <sheet name="Navigation" sheetId="53" r:id="rId10"/>
    <sheet name="Reporter" sheetId="43" r:id="rId11"/>
    <sheet name="Scores" sheetId="6" r:id="rId12"/>
    <sheet name="20-01-2025 - Fulflood A" sheetId="55" r:id="rId13"/>
    <sheet name="27-01-2025 - Coach &amp; Horses" sheetId="56" r:id="rId14"/>
    <sheet name="03-02-2025 - Weeke A" sheetId="57" r:id="rId15"/>
    <sheet name="10-02-2025 - Team Knockout" sheetId="70" r:id="rId16"/>
    <sheet name="17-02-2025 - Sportsmans Misfits" sheetId="58" r:id="rId17"/>
    <sheet name="10-03-2025 - Worthies" sheetId="59" r:id="rId18"/>
    <sheet name="24-03-2025 - Weeke B" sheetId="60" r:id="rId19"/>
    <sheet name="31-03-2025 - Weeke Wintonians" sheetId="61" r:id="rId20"/>
    <sheet name="14-04-2025 - Fulflood A" sheetId="62" r:id="rId21"/>
    <sheet name="21-04-2025 - Coach &amp; Horses" sheetId="63" r:id="rId22"/>
    <sheet name="28-04-2025 - Weeke A" sheetId="64" r:id="rId23"/>
    <sheet name="19-05-2025 - Sportsmans Misfits" sheetId="65" r:id="rId24"/>
    <sheet name="02-06-2025 - Worthies" sheetId="66" r:id="rId25"/>
    <sheet name="16-06-2025 - Weeke B" sheetId="67" r:id="rId26"/>
    <sheet name="30-06-2025 - Weeke Wintonians" sheetId="68" r:id="rId27"/>
  </sheets>
  <functionGroups builtInGroupCount="19"/>
  <definedNames>
    <definedName name="_xleta.IF" hidden="1" xlm="1">#NAME?</definedName>
    <definedName name="_xleta.OR" hidden="1" xlm="1">#NAME?</definedName>
    <definedName name="_xleta.ROW" hidden="1" xlm="1">#NAME?</definedName>
    <definedName name="_xleta.T" hidden="1" xlm="1">#NAME?</definedName>
    <definedName name="DP_Adam">'Player Wins-Losses'!$B$9</definedName>
    <definedName name="DP_Brian">'Player Wins-Losses'!$B$5</definedName>
    <definedName name="DP_Callum">'Player Wins-Losses'!$B$3</definedName>
    <definedName name="DP_DanC">'Player Wins-Losses'!$B$13</definedName>
    <definedName name="DP_DanH">'Player Wins-Losses'!$B$15</definedName>
    <definedName name="DP_Dave">'Player Wins-Losses'!$B$6</definedName>
    <definedName name="DP_Jim">'Player Wins-Losses'!$B$8</definedName>
    <definedName name="DP_John">'Player Wins-Losses'!$B$7</definedName>
    <definedName name="DP_Keith">'Player Wins-Losses'!$B$11</definedName>
    <definedName name="DP_Les">'Player Wins-Losses'!$B$14</definedName>
    <definedName name="DP_Mark">'Player Wins-Losses'!$B$12</definedName>
    <definedName name="DP_Neil">'Player Wins-Losses'!$B$4</definedName>
    <definedName name="DP_Scott">'Player Wins-Losses'!$B$10</definedName>
    <definedName name="DW_Adam">'Player Wins-Losses'!$C$9</definedName>
    <definedName name="DW_Brian">'Player Wins-Losses'!$C$5</definedName>
    <definedName name="DW_Callum">'Player Wins-Losses'!$C$3</definedName>
    <definedName name="DW_DanC">'Player Wins-Losses'!$C$13</definedName>
    <definedName name="DW_DanH">'Player Wins-Losses'!$C$15</definedName>
    <definedName name="DW_Dave">'Player Wins-Losses'!$C$6</definedName>
    <definedName name="DW_Jim">'Player Wins-Losses'!$C$8</definedName>
    <definedName name="DW_John">'Player Wins-Losses'!$C$7</definedName>
    <definedName name="DW_Keith">'Player Wins-Losses'!$C$11</definedName>
    <definedName name="DW_Les">'Player Wins-Losses'!$C$14</definedName>
    <definedName name="DW_Mark">'Player Wins-Losses'!$C$12</definedName>
    <definedName name="DW_Neil">'Player Wins-Losses'!$C$4</definedName>
    <definedName name="DW_Scott">'Player Wins-Losses'!$C$10</definedName>
    <definedName name="OP_Adam">'Player Wins-Losses'!$H$9</definedName>
    <definedName name="OP_Brian">'Player Wins-Losses'!$H$5</definedName>
    <definedName name="OP_Callum">'Player Wins-Losses'!$H$3</definedName>
    <definedName name="OP_DanC">'Player Wins-Losses'!$H$13</definedName>
    <definedName name="OP_DanH">'Player Wins-Losses'!$H$15</definedName>
    <definedName name="OP_Dave">'Player Wins-Losses'!$H$6</definedName>
    <definedName name="OP_Jim">'Player Wins-Losses'!$H$8</definedName>
    <definedName name="OP_John">'Player Wins-Losses'!$H$7</definedName>
    <definedName name="OP_Keith">'Player Wins-Losses'!$H$11</definedName>
    <definedName name="OP_Les">'Player Wins-Losses'!$H$14</definedName>
    <definedName name="OP_Mark">'Player Wins-Losses'!$H$12</definedName>
    <definedName name="OP_Neil">'Player Wins-Losses'!$H$4</definedName>
    <definedName name="OP_Scott">'Player Wins-Losses'!$H$10</definedName>
    <definedName name="OW_Adam">'Player Wins-Losses'!$I$9</definedName>
    <definedName name="OW_Brian">'Player Wins-Losses'!$I$5</definedName>
    <definedName name="OW_Callum">'Player Wins-Losses'!$I$3</definedName>
    <definedName name="OW_DanC">'Player Wins-Losses'!$I$13</definedName>
    <definedName name="OW_DanH">'Player Wins-Losses'!$I$15</definedName>
    <definedName name="OW_Dave">'Player Wins-Losses'!$I$6</definedName>
    <definedName name="OW_Jim">'Player Wins-Losses'!$I$8</definedName>
    <definedName name="OW_John">'Player Wins-Losses'!$I$7</definedName>
    <definedName name="OW_Keith">'Player Wins-Losses'!$I$11</definedName>
    <definedName name="OW_Les">'Player Wins-Losses'!$I$14</definedName>
    <definedName name="OW_Mark">'Player Wins-Losses'!$I$12</definedName>
    <definedName name="OW_Neil">'Player Wins-Losses'!$I$4</definedName>
    <definedName name="OW_Scott">'Player Wins-Losses'!$I$10</definedName>
    <definedName name="PL_Adam">'Player Wins-Losses'!$A$9</definedName>
    <definedName name="PL_Brian">'Player Wins-Losses'!$A$5</definedName>
    <definedName name="PL_Callum">'Player Wins-Losses'!$A$3</definedName>
    <definedName name="PL_DanC">'Player Wins-Losses'!$A$13</definedName>
    <definedName name="PL_DanH">'Player Wins-Losses'!$A$15</definedName>
    <definedName name="PL_Dave">'Player Wins-Losses'!$A$6</definedName>
    <definedName name="PL_Jim">'Player Wins-Losses'!$A$8</definedName>
    <definedName name="PL_John">'Player Wins-Losses'!$A$7</definedName>
    <definedName name="PL_Keith">'Player Wins-Losses'!$A$11</definedName>
    <definedName name="PL_Les">'Player Wins-Losses'!$A$14</definedName>
    <definedName name="PL_Mark">'Player Wins-Losses'!$A$12</definedName>
    <definedName name="PL_Neil">'Player Wins-Losses'!$A$4</definedName>
    <definedName name="PL_Scott">'Player Wins-Losses'!$A$10</definedName>
    <definedName name="PlayerName">OFFSET(Players!$A$2, 0, 2, COUNTA(Players!$A:$A) -1, 1)</definedName>
    <definedName name="_xlnm.Print_Area" localSheetId="10">Reporter!#REF!</definedName>
    <definedName name="SC_Adam">Scores!$A$8</definedName>
    <definedName name="SC_Brian">Scores!$A$4</definedName>
    <definedName name="SC_Callum">Scores!$A$2</definedName>
    <definedName name="SC_DanC">Scores!$A$12</definedName>
    <definedName name="SC_DanH">Scores!$A$14</definedName>
    <definedName name="SC_Dave">Scores!$A$5</definedName>
    <definedName name="SC_Jim">Scores!$A$7</definedName>
    <definedName name="SC_John">Scores!$A$6</definedName>
    <definedName name="SC_Keith">Scores!$A$10</definedName>
    <definedName name="SC_Les">Scores!$A$13</definedName>
    <definedName name="SC_Mark">Scores!$A$11</definedName>
    <definedName name="SC_Neil">Scores!$A$3</definedName>
    <definedName name="SC_Scott">Scores!$A$9</definedName>
    <definedName name="SP_Adam">'Player Wins-Losses'!$E$9</definedName>
    <definedName name="SP_Brian">'Player Wins-Losses'!$E$5</definedName>
    <definedName name="SP_Callum">'Player Wins-Losses'!$E$3</definedName>
    <definedName name="SP_DanC">'Player Wins-Losses'!$E$13</definedName>
    <definedName name="SP_DanH">'Player Wins-Losses'!$E$15</definedName>
    <definedName name="SP_Dave">'Player Wins-Losses'!$E$6</definedName>
    <definedName name="SP_Jim">'Player Wins-Losses'!$E$8</definedName>
    <definedName name="SP_John">'Player Wins-Losses'!$E$7</definedName>
    <definedName name="SP_Keith">'Player Wins-Losses'!$E$11</definedName>
    <definedName name="SP_Les">'Player Wins-Losses'!$E$14</definedName>
    <definedName name="SP_Mark">'Player Wins-Losses'!$E$12</definedName>
    <definedName name="SP_Neil">'Player Wins-Losses'!$E$4</definedName>
    <definedName name="SP_Scott">'Player Wins-Losses'!$E$10</definedName>
    <definedName name="SW_Adam">'Player Wins-Losses'!$F$9</definedName>
    <definedName name="SW_Brian">'Player Wins-Losses'!$F$5</definedName>
    <definedName name="SW_Callum">'Player Wins-Losses'!$F$3</definedName>
    <definedName name="SW_DanC">'Player Wins-Losses'!$F$13</definedName>
    <definedName name="SW_DanH">'Player Wins-Losses'!$F$15</definedName>
    <definedName name="SW_Dave">'Player Wins-Losses'!$F$6</definedName>
    <definedName name="SW_Jim">'Player Wins-Losses'!$F$8</definedName>
    <definedName name="SW_John">'Player Wins-Losses'!$F$7</definedName>
    <definedName name="SW_Keith">'Player Wins-Losses'!$F$11</definedName>
    <definedName name="SW_Les">'Player Wins-Losses'!$F$14</definedName>
    <definedName name="SW_Mark">'Player Wins-Losses'!$F$12</definedName>
    <definedName name="SW_Neil">'Player Wins-Losses'!$F$4</definedName>
    <definedName name="SW_Scott">'Player Wins-Losses'!$F$10</definedName>
    <definedName name="TeamName">Teams!$A:$A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69" l="1"/>
  <c r="E15" i="69"/>
  <c r="E14" i="69"/>
  <c r="J16" i="43"/>
  <c r="I16" i="43"/>
  <c r="H16" i="43"/>
  <c r="G16" i="43"/>
  <c r="D16" i="43"/>
  <c r="J15" i="43"/>
  <c r="I15" i="43"/>
  <c r="H15" i="43"/>
  <c r="G15" i="43"/>
  <c r="D15" i="43"/>
  <c r="J14" i="43"/>
  <c r="I14" i="43"/>
  <c r="H14" i="43"/>
  <c r="G14" i="43"/>
  <c r="D14" i="43"/>
  <c r="J13" i="43"/>
  <c r="I13" i="43"/>
  <c r="H13" i="43"/>
  <c r="G13" i="43"/>
  <c r="D13" i="43"/>
  <c r="J12" i="43"/>
  <c r="I12" i="43"/>
  <c r="H12" i="43"/>
  <c r="G12" i="43"/>
  <c r="D12" i="43"/>
  <c r="J11" i="43"/>
  <c r="I11" i="43"/>
  <c r="H11" i="43"/>
  <c r="G11" i="43"/>
  <c r="D11" i="43"/>
  <c r="J10" i="43"/>
  <c r="I10" i="43"/>
  <c r="H10" i="43"/>
  <c r="G10" i="43"/>
  <c r="D10" i="43"/>
  <c r="J9" i="43"/>
  <c r="I9" i="43"/>
  <c r="H9" i="43"/>
  <c r="G9" i="43"/>
  <c r="D9" i="43"/>
  <c r="J8" i="43"/>
  <c r="I8" i="43"/>
  <c r="H8" i="43"/>
  <c r="G8" i="43"/>
  <c r="D8" i="43"/>
  <c r="J7" i="43"/>
  <c r="I7" i="43"/>
  <c r="H7" i="43"/>
  <c r="G7" i="43"/>
  <c r="D7" i="43"/>
  <c r="J6" i="43"/>
  <c r="I6" i="43"/>
  <c r="H6" i="43"/>
  <c r="G6" i="43"/>
  <c r="D6" i="43"/>
  <c r="J5" i="43"/>
  <c r="I5" i="43"/>
  <c r="H5" i="43"/>
  <c r="G5" i="43"/>
  <c r="D5" i="43"/>
  <c r="J4" i="43"/>
  <c r="I4" i="43"/>
  <c r="H4" i="43"/>
  <c r="G4" i="43"/>
  <c r="D4" i="43"/>
  <c r="J94" i="16"/>
  <c r="I94" i="16"/>
  <c r="H94" i="16"/>
  <c r="G94" i="16"/>
  <c r="D94" i="16"/>
  <c r="J93" i="16"/>
  <c r="I93" i="16"/>
  <c r="H93" i="16"/>
  <c r="G93" i="16"/>
  <c r="D93" i="16"/>
  <c r="J92" i="16"/>
  <c r="I92" i="16"/>
  <c r="H92" i="16"/>
  <c r="G92" i="16"/>
  <c r="D92" i="16"/>
  <c r="J91" i="16"/>
  <c r="I91" i="16"/>
  <c r="H91" i="16"/>
  <c r="G91" i="16"/>
  <c r="D91" i="16"/>
  <c r="J90" i="16"/>
  <c r="I90" i="16"/>
  <c r="H90" i="16"/>
  <c r="G90" i="16"/>
  <c r="D90" i="16"/>
  <c r="J89" i="16"/>
  <c r="I89" i="16"/>
  <c r="H89" i="16"/>
  <c r="G89" i="16"/>
  <c r="D89" i="16"/>
  <c r="J88" i="16"/>
  <c r="I88" i="16"/>
  <c r="H88" i="16"/>
  <c r="G88" i="16"/>
  <c r="D88" i="16"/>
  <c r="J87" i="16"/>
  <c r="I87" i="16"/>
  <c r="H87" i="16"/>
  <c r="G87" i="16"/>
  <c r="D87" i="16"/>
  <c r="J86" i="16"/>
  <c r="I86" i="16"/>
  <c r="H86" i="16"/>
  <c r="G86" i="16"/>
  <c r="D86" i="16"/>
  <c r="J85" i="16"/>
  <c r="I85" i="16"/>
  <c r="H85" i="16"/>
  <c r="G85" i="16"/>
  <c r="D85" i="16"/>
  <c r="J84" i="16"/>
  <c r="I84" i="16"/>
  <c r="H84" i="16"/>
  <c r="G84" i="16"/>
  <c r="D84" i="16"/>
  <c r="J83" i="16"/>
  <c r="I83" i="16"/>
  <c r="H83" i="16"/>
  <c r="G83" i="16"/>
  <c r="D83" i="16"/>
  <c r="J82" i="16"/>
  <c r="I82" i="16"/>
  <c r="H82" i="16"/>
  <c r="G82" i="16"/>
  <c r="D82" i="16"/>
  <c r="J78" i="16"/>
  <c r="I78" i="16"/>
  <c r="H78" i="16"/>
  <c r="G78" i="16"/>
  <c r="D78" i="16"/>
  <c r="J77" i="16"/>
  <c r="I77" i="16"/>
  <c r="H77" i="16"/>
  <c r="G77" i="16"/>
  <c r="D77" i="16"/>
  <c r="I76" i="16"/>
  <c r="H76" i="16"/>
  <c r="G76" i="16"/>
  <c r="D76" i="16"/>
  <c r="I75" i="16"/>
  <c r="H75" i="16"/>
  <c r="G75" i="16"/>
  <c r="D75" i="16"/>
  <c r="I74" i="16"/>
  <c r="H74" i="16"/>
  <c r="G74" i="16"/>
  <c r="D74" i="16"/>
  <c r="I73" i="16"/>
  <c r="H73" i="16"/>
  <c r="G73" i="16"/>
  <c r="D73" i="16"/>
  <c r="I72" i="16"/>
  <c r="H72" i="16"/>
  <c r="G72" i="16"/>
  <c r="D72" i="16"/>
  <c r="J71" i="16"/>
  <c r="I71" i="16"/>
  <c r="H71" i="16"/>
  <c r="G71" i="16"/>
  <c r="D71" i="16"/>
  <c r="I70" i="16"/>
  <c r="H70" i="16"/>
  <c r="G70" i="16"/>
  <c r="D70" i="16"/>
  <c r="I69" i="16"/>
  <c r="H69" i="16"/>
  <c r="G69" i="16"/>
  <c r="D69" i="16"/>
  <c r="J68" i="16"/>
  <c r="I68" i="16"/>
  <c r="H68" i="16"/>
  <c r="G68" i="16"/>
  <c r="D68" i="16"/>
  <c r="I67" i="16"/>
  <c r="H67" i="16"/>
  <c r="G67" i="16"/>
  <c r="D67" i="16"/>
  <c r="J66" i="16"/>
  <c r="I66" i="16"/>
  <c r="H66" i="16"/>
  <c r="G66" i="16"/>
  <c r="D66" i="16"/>
  <c r="E13" i="69"/>
  <c r="E12" i="69"/>
  <c r="E11" i="69"/>
  <c r="E10" i="69"/>
  <c r="E9" i="69"/>
  <c r="H17" i="70"/>
  <c r="G17" i="70"/>
  <c r="H16" i="70"/>
  <c r="G16" i="70"/>
  <c r="H15" i="70"/>
  <c r="G15" i="70"/>
  <c r="H14" i="70"/>
  <c r="G14" i="70"/>
  <c r="H13" i="70"/>
  <c r="G13" i="70"/>
  <c r="H12" i="70"/>
  <c r="D18" i="70" s="1"/>
  <c r="G12" i="70"/>
  <c r="H11" i="70"/>
  <c r="H10" i="70"/>
  <c r="G10" i="70"/>
  <c r="C18" i="70" s="1"/>
  <c r="H9" i="70"/>
  <c r="G9" i="70"/>
  <c r="H8" i="70"/>
  <c r="H7" i="70"/>
  <c r="G7" i="70"/>
  <c r="H6" i="70"/>
  <c r="G6" i="70"/>
  <c r="H5" i="70"/>
  <c r="H4" i="70"/>
  <c r="G4" i="70"/>
  <c r="I62" i="16"/>
  <c r="H62" i="16"/>
  <c r="G62" i="16"/>
  <c r="D62" i="16"/>
  <c r="I61" i="16"/>
  <c r="H61" i="16"/>
  <c r="G61" i="16"/>
  <c r="D61" i="16"/>
  <c r="I60" i="16"/>
  <c r="H60" i="16"/>
  <c r="G60" i="16"/>
  <c r="D60" i="16"/>
  <c r="I59" i="16"/>
  <c r="H59" i="16"/>
  <c r="G59" i="16"/>
  <c r="D59" i="16"/>
  <c r="I58" i="16"/>
  <c r="H58" i="16"/>
  <c r="G58" i="16"/>
  <c r="D58" i="16"/>
  <c r="I57" i="16"/>
  <c r="H57" i="16"/>
  <c r="G57" i="16"/>
  <c r="D57" i="16"/>
  <c r="I56" i="16"/>
  <c r="H56" i="16"/>
  <c r="G56" i="16"/>
  <c r="D56" i="16"/>
  <c r="I55" i="16"/>
  <c r="H55" i="16"/>
  <c r="G55" i="16"/>
  <c r="D55" i="16"/>
  <c r="I54" i="16"/>
  <c r="H54" i="16"/>
  <c r="G54" i="16"/>
  <c r="D54" i="16"/>
  <c r="I53" i="16"/>
  <c r="H53" i="16"/>
  <c r="G53" i="16"/>
  <c r="D53" i="16"/>
  <c r="I52" i="16"/>
  <c r="H52" i="16"/>
  <c r="G52" i="16"/>
  <c r="D52" i="16"/>
  <c r="I51" i="16"/>
  <c r="H51" i="16"/>
  <c r="G51" i="16"/>
  <c r="D51" i="16"/>
  <c r="I50" i="16"/>
  <c r="H50" i="16"/>
  <c r="G50" i="16"/>
  <c r="D50" i="16"/>
  <c r="I15" i="5"/>
  <c r="H15" i="5"/>
  <c r="J62" i="16" s="1"/>
  <c r="G15" i="5"/>
  <c r="D15" i="5"/>
  <c r="I14" i="5"/>
  <c r="H14" i="5"/>
  <c r="G14" i="5"/>
  <c r="D14" i="5"/>
  <c r="E7" i="69"/>
  <c r="E8" i="69"/>
  <c r="E6" i="69"/>
  <c r="E4" i="69"/>
  <c r="E5" i="69"/>
  <c r="I45" i="16"/>
  <c r="H45" i="16"/>
  <c r="G45" i="16"/>
  <c r="D45" i="16"/>
  <c r="I44" i="16"/>
  <c r="H44" i="16"/>
  <c r="G44" i="16"/>
  <c r="D44" i="16"/>
  <c r="I43" i="16"/>
  <c r="H43" i="16"/>
  <c r="G43" i="16"/>
  <c r="D43" i="16"/>
  <c r="I42" i="16"/>
  <c r="H42" i="16"/>
  <c r="G42" i="16"/>
  <c r="D42" i="16"/>
  <c r="I41" i="16"/>
  <c r="H41" i="16"/>
  <c r="G41" i="16"/>
  <c r="D41" i="16"/>
  <c r="I40" i="16"/>
  <c r="H40" i="16"/>
  <c r="G40" i="16"/>
  <c r="D40" i="16"/>
  <c r="I39" i="16"/>
  <c r="H39" i="16"/>
  <c r="G39" i="16"/>
  <c r="D39" i="16"/>
  <c r="I38" i="16"/>
  <c r="H38" i="16"/>
  <c r="G38" i="16"/>
  <c r="D38" i="16"/>
  <c r="I37" i="16"/>
  <c r="H37" i="16"/>
  <c r="G37" i="16"/>
  <c r="D37" i="16"/>
  <c r="I36" i="16"/>
  <c r="H36" i="16"/>
  <c r="G36" i="16"/>
  <c r="D36" i="16"/>
  <c r="I35" i="16"/>
  <c r="H35" i="16"/>
  <c r="G35" i="16"/>
  <c r="D35" i="16"/>
  <c r="I30" i="16"/>
  <c r="H30" i="16"/>
  <c r="G30" i="16"/>
  <c r="D30" i="16"/>
  <c r="I29" i="16"/>
  <c r="H29" i="16"/>
  <c r="G29" i="16"/>
  <c r="D29" i="16"/>
  <c r="I28" i="16"/>
  <c r="H28" i="16"/>
  <c r="G28" i="16"/>
  <c r="D28" i="16"/>
  <c r="I27" i="16"/>
  <c r="H27" i="16"/>
  <c r="G27" i="16"/>
  <c r="D27" i="16"/>
  <c r="I26" i="16"/>
  <c r="H26" i="16"/>
  <c r="G26" i="16"/>
  <c r="D26" i="16"/>
  <c r="I25" i="16"/>
  <c r="H25" i="16"/>
  <c r="G25" i="16"/>
  <c r="D25" i="16"/>
  <c r="I24" i="16"/>
  <c r="H24" i="16"/>
  <c r="G24" i="16"/>
  <c r="D24" i="16"/>
  <c r="I23" i="16"/>
  <c r="H23" i="16"/>
  <c r="G23" i="16"/>
  <c r="D23" i="16"/>
  <c r="I22" i="16"/>
  <c r="H22" i="16"/>
  <c r="G22" i="16"/>
  <c r="D22" i="16"/>
  <c r="I21" i="16"/>
  <c r="H21" i="16"/>
  <c r="G21" i="16"/>
  <c r="D21" i="16"/>
  <c r="I20" i="16"/>
  <c r="H20" i="16"/>
  <c r="G20" i="16"/>
  <c r="D20" i="16"/>
  <c r="I13" i="5"/>
  <c r="H13" i="5"/>
  <c r="J60" i="16" s="1"/>
  <c r="G13" i="5"/>
  <c r="D13" i="5"/>
  <c r="I12" i="5"/>
  <c r="H12" i="5"/>
  <c r="J75" i="16" s="1"/>
  <c r="G12" i="5"/>
  <c r="D12" i="5"/>
  <c r="I11" i="5"/>
  <c r="H11" i="5"/>
  <c r="J58" i="16" s="1"/>
  <c r="G11" i="5"/>
  <c r="D11" i="5"/>
  <c r="I10" i="5"/>
  <c r="H10" i="5"/>
  <c r="J57" i="16" s="1"/>
  <c r="G10" i="5"/>
  <c r="D10" i="5"/>
  <c r="I9" i="5"/>
  <c r="H9" i="5"/>
  <c r="J72" i="16" s="1"/>
  <c r="G9" i="5"/>
  <c r="D9" i="5"/>
  <c r="I8" i="5"/>
  <c r="H8" i="5"/>
  <c r="J55" i="16" s="1"/>
  <c r="G8" i="5"/>
  <c r="D8" i="5"/>
  <c r="I7" i="5"/>
  <c r="H7" i="5"/>
  <c r="J54" i="16" s="1"/>
  <c r="G7" i="5"/>
  <c r="D7" i="5"/>
  <c r="I6" i="5"/>
  <c r="H6" i="5"/>
  <c r="J53" i="16" s="1"/>
  <c r="G6" i="5"/>
  <c r="D6" i="5"/>
  <c r="I5" i="5"/>
  <c r="H5" i="5"/>
  <c r="J52" i="16" s="1"/>
  <c r="G5" i="5"/>
  <c r="D5" i="5"/>
  <c r="I4" i="5"/>
  <c r="H4" i="5"/>
  <c r="G4" i="5"/>
  <c r="D4" i="5"/>
  <c r="I3" i="5"/>
  <c r="H3" i="5"/>
  <c r="J50" i="16" s="1"/>
  <c r="G3" i="5"/>
  <c r="D3" i="5"/>
  <c r="E3" i="69"/>
  <c r="E2" i="69"/>
  <c r="I15" i="16"/>
  <c r="H15" i="16"/>
  <c r="G15" i="16"/>
  <c r="D15" i="16"/>
  <c r="I14" i="16"/>
  <c r="H14" i="16"/>
  <c r="G14" i="16"/>
  <c r="D14" i="16"/>
  <c r="I13" i="16"/>
  <c r="H13" i="16"/>
  <c r="G13" i="16"/>
  <c r="D13" i="16"/>
  <c r="I12" i="16"/>
  <c r="H12" i="16"/>
  <c r="G12" i="16"/>
  <c r="D12" i="16"/>
  <c r="I11" i="16"/>
  <c r="H11" i="16"/>
  <c r="G11" i="16"/>
  <c r="D11" i="16"/>
  <c r="J10" i="16"/>
  <c r="I10" i="16"/>
  <c r="H10" i="16"/>
  <c r="G10" i="16"/>
  <c r="D10" i="16"/>
  <c r="I9" i="16"/>
  <c r="H9" i="16"/>
  <c r="G9" i="16"/>
  <c r="D9" i="16"/>
  <c r="I8" i="16"/>
  <c r="H8" i="16"/>
  <c r="G8" i="16"/>
  <c r="D8" i="16"/>
  <c r="J7" i="16"/>
  <c r="I7" i="16"/>
  <c r="H7" i="16"/>
  <c r="G7" i="16"/>
  <c r="D7" i="16"/>
  <c r="I6" i="16"/>
  <c r="H6" i="16"/>
  <c r="G6" i="16"/>
  <c r="D6" i="16"/>
  <c r="H17" i="68"/>
  <c r="G17" i="68"/>
  <c r="H16" i="68"/>
  <c r="G16" i="68"/>
  <c r="H15" i="68"/>
  <c r="G15" i="68"/>
  <c r="H14" i="68"/>
  <c r="G14" i="68"/>
  <c r="H13" i="68"/>
  <c r="G13" i="68"/>
  <c r="H12" i="68"/>
  <c r="G12" i="68"/>
  <c r="H10" i="68"/>
  <c r="G10" i="68"/>
  <c r="G9" i="68"/>
  <c r="H7" i="68"/>
  <c r="D18" i="68" s="1"/>
  <c r="G7" i="68"/>
  <c r="H6" i="68"/>
  <c r="G6" i="68"/>
  <c r="H4" i="68"/>
  <c r="G4" i="68"/>
  <c r="C18" i="68" s="1"/>
  <c r="H17" i="67"/>
  <c r="G17" i="67"/>
  <c r="H16" i="67"/>
  <c r="G16" i="67"/>
  <c r="H15" i="67"/>
  <c r="G15" i="67"/>
  <c r="H14" i="67"/>
  <c r="G14" i="67"/>
  <c r="H13" i="67"/>
  <c r="G13" i="67"/>
  <c r="H12" i="67"/>
  <c r="G12" i="67"/>
  <c r="H10" i="67"/>
  <c r="G10" i="67"/>
  <c r="G9" i="67"/>
  <c r="H7" i="67"/>
  <c r="D18" i="67" s="1"/>
  <c r="G7" i="67"/>
  <c r="H6" i="67"/>
  <c r="G6" i="67"/>
  <c r="H4" i="67"/>
  <c r="G4" i="67"/>
  <c r="C18" i="67" s="1"/>
  <c r="H17" i="66"/>
  <c r="G17" i="66"/>
  <c r="H16" i="66"/>
  <c r="G16" i="66"/>
  <c r="H15" i="66"/>
  <c r="G15" i="66"/>
  <c r="H14" i="66"/>
  <c r="G14" i="66"/>
  <c r="H13" i="66"/>
  <c r="G13" i="66"/>
  <c r="H12" i="66"/>
  <c r="G12" i="66"/>
  <c r="H10" i="66"/>
  <c r="G10" i="66"/>
  <c r="G9" i="66"/>
  <c r="H7" i="66"/>
  <c r="G7" i="66"/>
  <c r="H6" i="66"/>
  <c r="G6" i="66"/>
  <c r="C18" i="66" s="1"/>
  <c r="H4" i="66"/>
  <c r="D18" i="66" s="1"/>
  <c r="G4" i="66"/>
  <c r="H17" i="65"/>
  <c r="G17" i="65"/>
  <c r="H16" i="65"/>
  <c r="G16" i="65"/>
  <c r="H15" i="65"/>
  <c r="G15" i="65"/>
  <c r="H14" i="65"/>
  <c r="G14" i="65"/>
  <c r="H13" i="65"/>
  <c r="G13" i="65"/>
  <c r="H12" i="65"/>
  <c r="G12" i="65"/>
  <c r="H11" i="65"/>
  <c r="H10" i="65"/>
  <c r="G10" i="65"/>
  <c r="H9" i="65"/>
  <c r="G9" i="65"/>
  <c r="H8" i="65"/>
  <c r="H7" i="65"/>
  <c r="G7" i="65"/>
  <c r="C18" i="65" s="1"/>
  <c r="H6" i="65"/>
  <c r="G6" i="65"/>
  <c r="H5" i="65"/>
  <c r="H4" i="65"/>
  <c r="D18" i="65" s="1"/>
  <c r="G4" i="65"/>
  <c r="H17" i="64"/>
  <c r="G17" i="64"/>
  <c r="H16" i="64"/>
  <c r="G16" i="64"/>
  <c r="H15" i="64"/>
  <c r="G15" i="64"/>
  <c r="H14" i="64"/>
  <c r="G14" i="64"/>
  <c r="H13" i="64"/>
  <c r="G13" i="64"/>
  <c r="H12" i="64"/>
  <c r="G12" i="64"/>
  <c r="H10" i="64"/>
  <c r="G10" i="64"/>
  <c r="G9" i="64"/>
  <c r="H7" i="64"/>
  <c r="D18" i="64" s="1"/>
  <c r="G7" i="64"/>
  <c r="H6" i="64"/>
  <c r="G6" i="64"/>
  <c r="H4" i="64"/>
  <c r="G4" i="64"/>
  <c r="C18" i="64" s="1"/>
  <c r="H17" i="63"/>
  <c r="G17" i="63"/>
  <c r="H16" i="63"/>
  <c r="G16" i="63"/>
  <c r="H15" i="63"/>
  <c r="G15" i="63"/>
  <c r="H14" i="63"/>
  <c r="G14" i="63"/>
  <c r="H13" i="63"/>
  <c r="G13" i="63"/>
  <c r="H12" i="63"/>
  <c r="G12" i="63"/>
  <c r="H11" i="63"/>
  <c r="H10" i="63"/>
  <c r="G10" i="63"/>
  <c r="C18" i="63" s="1"/>
  <c r="H9" i="63"/>
  <c r="G9" i="63"/>
  <c r="H8" i="63"/>
  <c r="H7" i="63"/>
  <c r="G7" i="63"/>
  <c r="H6" i="63"/>
  <c r="G6" i="63"/>
  <c r="H5" i="63"/>
  <c r="H4" i="63"/>
  <c r="D18" i="63" s="1"/>
  <c r="G4" i="63"/>
  <c r="H17" i="62"/>
  <c r="G17" i="62"/>
  <c r="H16" i="62"/>
  <c r="G16" i="62"/>
  <c r="H15" i="62"/>
  <c r="G15" i="62"/>
  <c r="H14" i="62"/>
  <c r="G14" i="62"/>
  <c r="H13" i="62"/>
  <c r="G13" i="62"/>
  <c r="H12" i="62"/>
  <c r="G12" i="62"/>
  <c r="H11" i="62"/>
  <c r="H10" i="62"/>
  <c r="G10" i="62"/>
  <c r="H9" i="62"/>
  <c r="G9" i="62"/>
  <c r="H8" i="62"/>
  <c r="H7" i="62"/>
  <c r="G7" i="62"/>
  <c r="H6" i="62"/>
  <c r="G6" i="62"/>
  <c r="C18" i="62" s="1"/>
  <c r="H5" i="62"/>
  <c r="H4" i="62"/>
  <c r="D18" i="62" s="1"/>
  <c r="G4" i="62"/>
  <c r="H17" i="61"/>
  <c r="G17" i="61"/>
  <c r="H16" i="61"/>
  <c r="G16" i="61"/>
  <c r="H15" i="61"/>
  <c r="G15" i="61"/>
  <c r="H14" i="61"/>
  <c r="G14" i="61"/>
  <c r="H13" i="61"/>
  <c r="G13" i="61"/>
  <c r="H12" i="61"/>
  <c r="G12" i="61"/>
  <c r="H11" i="61"/>
  <c r="H10" i="61"/>
  <c r="G10" i="61"/>
  <c r="H9" i="61"/>
  <c r="G9" i="61"/>
  <c r="H8" i="61"/>
  <c r="H7" i="61"/>
  <c r="G7" i="61"/>
  <c r="H6" i="61"/>
  <c r="G6" i="61"/>
  <c r="C18" i="61" s="1"/>
  <c r="H5" i="61"/>
  <c r="H4" i="61"/>
  <c r="D18" i="61" s="1"/>
  <c r="G4" i="61"/>
  <c r="H17" i="60"/>
  <c r="G17" i="60"/>
  <c r="H16" i="60"/>
  <c r="G16" i="60"/>
  <c r="H15" i="60"/>
  <c r="G15" i="60"/>
  <c r="H14" i="60"/>
  <c r="G14" i="60"/>
  <c r="H13" i="60"/>
  <c r="G13" i="60"/>
  <c r="H12" i="60"/>
  <c r="G12" i="60"/>
  <c r="H11" i="60"/>
  <c r="H10" i="60"/>
  <c r="G10" i="60"/>
  <c r="H9" i="60"/>
  <c r="G9" i="60"/>
  <c r="H8" i="60"/>
  <c r="H7" i="60"/>
  <c r="G7" i="60"/>
  <c r="H6" i="60"/>
  <c r="G6" i="60"/>
  <c r="C18" i="60" s="1"/>
  <c r="H5" i="60"/>
  <c r="H4" i="60"/>
  <c r="D18" i="60" s="1"/>
  <c r="G4" i="60"/>
  <c r="H17" i="59"/>
  <c r="G17" i="59"/>
  <c r="H16" i="59"/>
  <c r="G16" i="59"/>
  <c r="H15" i="59"/>
  <c r="G15" i="59"/>
  <c r="H14" i="59"/>
  <c r="G14" i="59"/>
  <c r="C18" i="59" s="1"/>
  <c r="H13" i="59"/>
  <c r="G13" i="59"/>
  <c r="H12" i="59"/>
  <c r="G12" i="59"/>
  <c r="H11" i="59"/>
  <c r="H10" i="59"/>
  <c r="G10" i="59"/>
  <c r="H9" i="59"/>
  <c r="G9" i="59"/>
  <c r="H8" i="59"/>
  <c r="H7" i="59"/>
  <c r="G7" i="59"/>
  <c r="H6" i="59"/>
  <c r="G6" i="59"/>
  <c r="H5" i="59"/>
  <c r="H4" i="59"/>
  <c r="D18" i="59" s="1"/>
  <c r="G4" i="59"/>
  <c r="H17" i="58"/>
  <c r="G17" i="58"/>
  <c r="H16" i="58"/>
  <c r="G16" i="58"/>
  <c r="H15" i="58"/>
  <c r="G15" i="58"/>
  <c r="H14" i="58"/>
  <c r="G14" i="58"/>
  <c r="H13" i="58"/>
  <c r="G13" i="58"/>
  <c r="H12" i="58"/>
  <c r="G12" i="58"/>
  <c r="H10" i="58"/>
  <c r="G10" i="58"/>
  <c r="G9" i="58"/>
  <c r="H7" i="58"/>
  <c r="G7" i="58"/>
  <c r="H6" i="58"/>
  <c r="G6" i="58"/>
  <c r="H4" i="58"/>
  <c r="D18" i="58" s="1"/>
  <c r="G4" i="58"/>
  <c r="C18" i="58" s="1"/>
  <c r="H17" i="57"/>
  <c r="G17" i="57"/>
  <c r="H16" i="57"/>
  <c r="G16" i="57"/>
  <c r="H15" i="57"/>
  <c r="G15" i="57"/>
  <c r="H14" i="57"/>
  <c r="G14" i="57"/>
  <c r="H13" i="57"/>
  <c r="G13" i="57"/>
  <c r="H12" i="57"/>
  <c r="G12" i="57"/>
  <c r="H11" i="57"/>
  <c r="H10" i="57"/>
  <c r="G10" i="57"/>
  <c r="H9" i="57"/>
  <c r="G9" i="57"/>
  <c r="H8" i="57"/>
  <c r="H7" i="57"/>
  <c r="G7" i="57"/>
  <c r="H6" i="57"/>
  <c r="G6" i="57"/>
  <c r="H5" i="57"/>
  <c r="H4" i="57"/>
  <c r="G4" i="57"/>
  <c r="H17" i="56"/>
  <c r="G17" i="56"/>
  <c r="H16" i="56"/>
  <c r="G16" i="56"/>
  <c r="H15" i="56"/>
  <c r="G15" i="56"/>
  <c r="H14" i="56"/>
  <c r="D18" i="56" s="1"/>
  <c r="G14" i="56"/>
  <c r="H13" i="56"/>
  <c r="G13" i="56"/>
  <c r="H12" i="56"/>
  <c r="G12" i="56"/>
  <c r="H10" i="56"/>
  <c r="G10" i="56"/>
  <c r="G9" i="56"/>
  <c r="H7" i="56"/>
  <c r="G7" i="56"/>
  <c r="H6" i="56"/>
  <c r="G6" i="56"/>
  <c r="H4" i="56"/>
  <c r="G4" i="56"/>
  <c r="D18" i="55"/>
  <c r="H17" i="55"/>
  <c r="G17" i="55"/>
  <c r="H16" i="55"/>
  <c r="G16" i="55"/>
  <c r="H15" i="55"/>
  <c r="G15" i="55"/>
  <c r="H14" i="55"/>
  <c r="G14" i="55"/>
  <c r="H13" i="55"/>
  <c r="G13" i="55"/>
  <c r="H12" i="55"/>
  <c r="G12" i="55"/>
  <c r="H10" i="55"/>
  <c r="G10" i="55"/>
  <c r="G9" i="55"/>
  <c r="H7" i="55"/>
  <c r="G7" i="55"/>
  <c r="C18" i="55" s="1"/>
  <c r="H6" i="55"/>
  <c r="G6" i="55"/>
  <c r="H4" i="55"/>
  <c r="G4" i="55"/>
  <c r="D18" i="26"/>
  <c r="C18" i="26"/>
  <c r="G13" i="26"/>
  <c r="G14" i="26"/>
  <c r="G15" i="26"/>
  <c r="G16" i="26"/>
  <c r="G17" i="26"/>
  <c r="G12" i="26"/>
  <c r="G10" i="26"/>
  <c r="H7" i="26"/>
  <c r="G7" i="26"/>
  <c r="H13" i="26"/>
  <c r="H14" i="26"/>
  <c r="H15" i="26"/>
  <c r="H16" i="26"/>
  <c r="H17" i="26"/>
  <c r="H12" i="26"/>
  <c r="H10" i="26"/>
  <c r="H4" i="26"/>
  <c r="G4" i="26"/>
  <c r="G9" i="26"/>
  <c r="H6" i="26"/>
  <c r="G6" i="26"/>
  <c r="G10" i="8"/>
  <c r="G7" i="8"/>
  <c r="H7" i="8"/>
  <c r="G13" i="8"/>
  <c r="G14" i="8"/>
  <c r="G15" i="8"/>
  <c r="G16" i="8"/>
  <c r="G17" i="8"/>
  <c r="G12" i="8"/>
  <c r="H13" i="8"/>
  <c r="H14" i="8"/>
  <c r="H15" i="8"/>
  <c r="H16" i="8"/>
  <c r="H17" i="8"/>
  <c r="H12" i="8"/>
  <c r="H5" i="8"/>
  <c r="H6" i="8"/>
  <c r="H8" i="8"/>
  <c r="H9" i="8"/>
  <c r="H10" i="8"/>
  <c r="H11" i="8"/>
  <c r="H4" i="8"/>
  <c r="G6" i="8"/>
  <c r="G9" i="8"/>
  <c r="G4" i="8"/>
  <c r="J51" i="16" l="1"/>
  <c r="J67" i="16"/>
  <c r="J59" i="16"/>
  <c r="J74" i="16"/>
  <c r="J73" i="16"/>
  <c r="J76" i="16"/>
  <c r="J69" i="16"/>
  <c r="J70" i="16"/>
  <c r="J14" i="5"/>
  <c r="J56" i="16"/>
  <c r="J61" i="16"/>
  <c r="J15" i="5"/>
  <c r="C18" i="57"/>
  <c r="D18" i="57"/>
  <c r="J39" i="16"/>
  <c r="J37" i="16"/>
  <c r="J45" i="16"/>
  <c r="J35" i="16"/>
  <c r="J36" i="16"/>
  <c r="J23" i="16"/>
  <c r="J25" i="16"/>
  <c r="J27" i="16"/>
  <c r="J44" i="16"/>
  <c r="J43" i="16"/>
  <c r="J24" i="16"/>
  <c r="J22" i="16"/>
  <c r="J38" i="16"/>
  <c r="J9" i="5"/>
  <c r="J11" i="5"/>
  <c r="J40" i="16"/>
  <c r="J28" i="16"/>
  <c r="J42" i="16"/>
  <c r="J29" i="16"/>
  <c r="J41" i="16"/>
  <c r="J30" i="16"/>
  <c r="J13" i="5"/>
  <c r="J20" i="16"/>
  <c r="J12" i="5"/>
  <c r="J21" i="16"/>
  <c r="J15" i="16"/>
  <c r="J26" i="16"/>
  <c r="C18" i="56"/>
  <c r="J6" i="16"/>
  <c r="J8" i="16"/>
  <c r="J14" i="16"/>
  <c r="J10" i="5"/>
  <c r="J11" i="16"/>
  <c r="J6" i="5"/>
  <c r="J9" i="16"/>
  <c r="J8" i="5"/>
  <c r="J7" i="5"/>
  <c r="J3" i="5"/>
  <c r="J5" i="5"/>
  <c r="J13" i="16"/>
  <c r="J4" i="5"/>
  <c r="J12" i="16"/>
  <c r="C18" i="8"/>
  <c r="D18" i="8"/>
</calcChain>
</file>

<file path=xl/sharedStrings.xml><?xml version="1.0" encoding="utf-8"?>
<sst xmlns="http://schemas.openxmlformats.org/spreadsheetml/2006/main" count="779" uniqueCount="113">
  <si>
    <t>First Name</t>
  </si>
  <si>
    <t>Last Name</t>
  </si>
  <si>
    <t>Known as</t>
  </si>
  <si>
    <t>Date</t>
  </si>
  <si>
    <t>Team</t>
  </si>
  <si>
    <t>Home/Away (H/A)</t>
  </si>
  <si>
    <t>Name</t>
  </si>
  <si>
    <t>Comment</t>
  </si>
  <si>
    <t>Player</t>
  </si>
  <si>
    <t xml:space="preserve"> &lt; 10</t>
  </si>
  <si>
    <t xml:space="preserve"> &gt; 100</t>
  </si>
  <si>
    <t xml:space="preserve"> &gt;= 140</t>
  </si>
  <si>
    <t xml:space="preserve"> = 180</t>
  </si>
  <si>
    <t>Pairs 1</t>
  </si>
  <si>
    <t>Pairs 2</t>
  </si>
  <si>
    <t>Pairs 3</t>
  </si>
  <si>
    <t>Singles 1</t>
  </si>
  <si>
    <t>Singles 2</t>
  </si>
  <si>
    <t>Singles 3</t>
  </si>
  <si>
    <t>Singles 4</t>
  </si>
  <si>
    <t>Singles 5</t>
  </si>
  <si>
    <t>Singles 6</t>
  </si>
  <si>
    <t>Match</t>
  </si>
  <si>
    <t>Doubles</t>
  </si>
  <si>
    <t>Played</t>
  </si>
  <si>
    <t>Won</t>
  </si>
  <si>
    <t>Singles</t>
  </si>
  <si>
    <t>Overall</t>
  </si>
  <si>
    <t>Win %</t>
  </si>
  <si>
    <t>This is Home Game Template</t>
  </si>
  <si>
    <t>AWAY</t>
  </si>
  <si>
    <t>This is Away Game Template</t>
  </si>
  <si>
    <t>Admin</t>
  </si>
  <si>
    <t>Players</t>
  </si>
  <si>
    <t>Teams</t>
  </si>
  <si>
    <t xml:space="preserve">Add Players, Teams, </t>
  </si>
  <si>
    <t>Fixture List, Create Fixtures,</t>
  </si>
  <si>
    <t>Templates for Home and Away Games</t>
  </si>
  <si>
    <t>Fixtures</t>
  </si>
  <si>
    <t>Add, Update, Delete Players</t>
  </si>
  <si>
    <t>Add, Update, Delete Teams</t>
  </si>
  <si>
    <t>Add, Update,  Fixture List; Generate ALL Fixture Sheets</t>
  </si>
  <si>
    <t>Template for Home game fixture</t>
  </si>
  <si>
    <t>Template for Away game fixture</t>
  </si>
  <si>
    <t>Player Wins-Losses</t>
  </si>
  <si>
    <t>Scores</t>
  </si>
  <si>
    <t>Reporter</t>
  </si>
  <si>
    <t>Navigation</t>
  </si>
  <si>
    <t>HomeGame</t>
  </si>
  <si>
    <t>AwayGame</t>
  </si>
  <si>
    <t>Queen Inn</t>
  </si>
  <si>
    <t>Home Team</t>
  </si>
  <si>
    <t xml:space="preserve">  -- </t>
  </si>
  <si>
    <t>Weeke A</t>
  </si>
  <si>
    <t>Worthies</t>
  </si>
  <si>
    <t>Fulflood A</t>
  </si>
  <si>
    <t>Weeke Wintonians</t>
  </si>
  <si>
    <t>Weeke B</t>
  </si>
  <si>
    <t>Coach &amp; Horses</t>
  </si>
  <si>
    <t>Sportsmans Misfits</t>
  </si>
  <si>
    <t>Team Cup 1st Round</t>
  </si>
  <si>
    <t>Team Cup 2nd Round</t>
  </si>
  <si>
    <t>Team Cup Finals</t>
  </si>
  <si>
    <t>Anderson</t>
  </si>
  <si>
    <t>Dave</t>
  </si>
  <si>
    <t>Les</t>
  </si>
  <si>
    <t>Callum</t>
  </si>
  <si>
    <t>Fry</t>
  </si>
  <si>
    <t>John</t>
  </si>
  <si>
    <t>Jackson</t>
  </si>
  <si>
    <t>Dan</t>
  </si>
  <si>
    <t>Mark</t>
  </si>
  <si>
    <t>Sankey</t>
  </si>
  <si>
    <t>Neil</t>
  </si>
  <si>
    <t>Mansfield</t>
  </si>
  <si>
    <t>Brian</t>
  </si>
  <si>
    <t>Price</t>
  </si>
  <si>
    <t>Jim</t>
  </si>
  <si>
    <t>Ward</t>
  </si>
  <si>
    <t>Scott</t>
  </si>
  <si>
    <t>Arundell</t>
  </si>
  <si>
    <t>Away</t>
  </si>
  <si>
    <t>Home</t>
  </si>
  <si>
    <t>20-01-2025 - Fulflood A</t>
  </si>
  <si>
    <t>27-01-2025 - Coach &amp; Horses</t>
  </si>
  <si>
    <t>03-02-2025 - Weeke A</t>
  </si>
  <si>
    <t>17-02-2025 - Sportsmans Misfits</t>
  </si>
  <si>
    <t>10-03-2025 - Worthies</t>
  </si>
  <si>
    <t>24-03-2025 - Weeke B</t>
  </si>
  <si>
    <t>31-03-2025 - Weeke Wintonians</t>
  </si>
  <si>
    <t>14-04-2025 - Fulflood A</t>
  </si>
  <si>
    <t>21-04-2025 - Coach &amp; Horses</t>
  </si>
  <si>
    <t>28-04-2025 - Weeke A</t>
  </si>
  <si>
    <t>19-05-2025 - Sportsmans Misfits</t>
  </si>
  <si>
    <t>02-06-2025 - Worthies</t>
  </si>
  <si>
    <t>16-06-2025 - Weeke B</t>
  </si>
  <si>
    <t>30-06-2025 - Weeke Wintonians</t>
  </si>
  <si>
    <t>Scores submitted</t>
  </si>
  <si>
    <t>Player2</t>
  </si>
  <si>
    <t>%</t>
  </si>
  <si>
    <t>Pairings</t>
  </si>
  <si>
    <t>James</t>
  </si>
  <si>
    <t>Adam</t>
  </si>
  <si>
    <t>Spreadborough</t>
  </si>
  <si>
    <t>Keith</t>
  </si>
  <si>
    <t>Chapman</t>
  </si>
  <si>
    <t>DanC</t>
  </si>
  <si>
    <t>Surrey</t>
  </si>
  <si>
    <t>Hawkins</t>
  </si>
  <si>
    <t>DanH</t>
  </si>
  <si>
    <t>Team Knockout - O'Neills</t>
  </si>
  <si>
    <t>10-02-2025 - Team Knockout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</si>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</sst>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rgb="FF000000"/>
      <name val="Aptos Narrow"/>
      <family val="2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000000"/>
      <name val="Aptos Narrow"/>
      <family val="2"/>
    </font>
    <font>
      <b/>
      <sz val="11"/>
      <name val="Aptos Narrow"/>
      <family val="2"/>
      <scheme val="minor"/>
    </font>
    <font>
      <b/>
      <sz val="14"/>
      <color rgb="FFFF0000"/>
      <name val="Century"/>
      <family val="1"/>
    </font>
    <font>
      <sz val="10"/>
      <color rgb="FF20282B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2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 style="double">
        <color rgb="FFC00000"/>
      </right>
      <top style="double">
        <color rgb="FFC00000"/>
      </top>
      <bottom style="double">
        <color rgb="FFC00000"/>
      </bottom>
      <diagonal/>
    </border>
    <border>
      <left style="thin">
        <color theme="1"/>
      </left>
      <right style="double">
        <color rgb="FFC00000"/>
      </right>
      <top style="double">
        <color rgb="FFC00000"/>
      </top>
      <bottom style="double">
        <color rgb="FFC00000"/>
      </bottom>
      <diagonal/>
    </border>
    <border>
      <left style="thin">
        <color theme="1"/>
      </left>
      <right style="medium">
        <color indexed="64"/>
      </right>
      <top style="double">
        <color rgb="FFC00000"/>
      </top>
      <bottom style="double">
        <color rgb="FFC00000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4" fillId="4" borderId="6" xfId="0" applyFont="1" applyFill="1" applyBorder="1"/>
    <xf numFmtId="0" fontId="4" fillId="4" borderId="7" xfId="0" applyFont="1" applyFill="1" applyBorder="1"/>
    <xf numFmtId="0" fontId="0" fillId="0" borderId="6" xfId="0" applyBorder="1"/>
    <xf numFmtId="0" fontId="0" fillId="0" borderId="9" xfId="0" applyBorder="1"/>
    <xf numFmtId="0" fontId="4" fillId="4" borderId="5" xfId="0" applyFont="1" applyFill="1" applyBorder="1"/>
    <xf numFmtId="0" fontId="0" fillId="0" borderId="8" xfId="0" applyBorder="1"/>
    <xf numFmtId="14" fontId="0" fillId="0" borderId="6" xfId="0" applyNumberFormat="1" applyBorder="1"/>
    <xf numFmtId="14" fontId="4" fillId="4" borderId="0" xfId="0" applyNumberFormat="1" applyFont="1" applyFill="1"/>
    <xf numFmtId="0" fontId="4" fillId="4" borderId="0" xfId="0" applyFont="1" applyFill="1"/>
    <xf numFmtId="0" fontId="4" fillId="4" borderId="1" xfId="0" applyFont="1" applyFill="1" applyBorder="1"/>
    <xf numFmtId="0" fontId="0" fillId="0" borderId="1" xfId="0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2" borderId="23" xfId="0" applyFill="1" applyBorder="1"/>
    <xf numFmtId="0" fontId="0" fillId="2" borderId="24" xfId="0" applyFill="1" applyBorder="1"/>
    <xf numFmtId="0" fontId="0" fillId="0" borderId="1" xfId="0" applyBorder="1" applyAlignment="1">
      <alignment horizontal="center" vertical="center"/>
    </xf>
    <xf numFmtId="0" fontId="0" fillId="2" borderId="19" xfId="0" applyFill="1" applyBorder="1"/>
    <xf numFmtId="0" fontId="0" fillId="2" borderId="20" xfId="0" applyFill="1" applyBorder="1"/>
    <xf numFmtId="0" fontId="0" fillId="0" borderId="28" xfId="0" applyBorder="1"/>
    <xf numFmtId="0" fontId="0" fillId="0" borderId="29" xfId="0" applyBorder="1"/>
    <xf numFmtId="0" fontId="0" fillId="0" borderId="31" xfId="0" applyBorder="1"/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2" borderId="34" xfId="0" applyFill="1" applyBorder="1"/>
    <xf numFmtId="0" fontId="0" fillId="0" borderId="23" xfId="0" applyBorder="1"/>
    <xf numFmtId="0" fontId="0" fillId="0" borderId="24" xfId="0" applyBorder="1"/>
    <xf numFmtId="0" fontId="0" fillId="2" borderId="28" xfId="0" applyFill="1" applyBorder="1"/>
    <xf numFmtId="0" fontId="0" fillId="2" borderId="29" xfId="0" applyFill="1" applyBorder="1"/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2" borderId="27" xfId="0" applyFill="1" applyBorder="1"/>
    <xf numFmtId="0" fontId="0" fillId="2" borderId="22" xfId="0" applyFill="1" applyBorder="1"/>
    <xf numFmtId="0" fontId="0" fillId="0" borderId="3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7" xfId="0" applyBorder="1"/>
    <xf numFmtId="0" fontId="0" fillId="0" borderId="22" xfId="0" applyBorder="1"/>
    <xf numFmtId="9" fontId="0" fillId="0" borderId="1" xfId="1" applyFont="1" applyBorder="1" applyAlignment="1">
      <alignment horizontal="center"/>
    </xf>
    <xf numFmtId="9" fontId="0" fillId="0" borderId="1" xfId="1" applyFont="1" applyBorder="1" applyAlignment="1">
      <alignment horizontal="center" vertical="center"/>
    </xf>
    <xf numFmtId="9" fontId="0" fillId="0" borderId="0" xfId="1" applyFont="1"/>
    <xf numFmtId="0" fontId="7" fillId="0" borderId="0" xfId="2"/>
    <xf numFmtId="0" fontId="9" fillId="0" borderId="1" xfId="0" applyFont="1" applyBorder="1"/>
    <xf numFmtId="0" fontId="10" fillId="0" borderId="0" xfId="0" applyFont="1"/>
    <xf numFmtId="0" fontId="4" fillId="4" borderId="42" xfId="0" applyFont="1" applyFill="1" applyBorder="1" applyAlignment="1">
      <alignment horizontal="center"/>
    </xf>
    <xf numFmtId="0" fontId="4" fillId="4" borderId="43" xfId="0" applyFont="1" applyFill="1" applyBorder="1" applyAlignment="1">
      <alignment horizontal="center"/>
    </xf>
    <xf numFmtId="0" fontId="4" fillId="4" borderId="43" xfId="1" applyNumberFormat="1" applyFont="1" applyFill="1" applyBorder="1" applyAlignment="1">
      <alignment horizontal="center"/>
    </xf>
    <xf numFmtId="9" fontId="4" fillId="4" borderId="44" xfId="1" applyFont="1" applyFill="1" applyBorder="1" applyAlignment="1">
      <alignment horizontal="center"/>
    </xf>
    <xf numFmtId="0" fontId="11" fillId="6" borderId="45" xfId="0" applyFont="1" applyFill="1" applyBorder="1" applyAlignment="1">
      <alignment horizontal="left" vertical="top" wrapText="1" indent="1"/>
    </xf>
    <xf numFmtId="0" fontId="11" fillId="6" borderId="46" xfId="0" applyFont="1" applyFill="1" applyBorder="1" applyAlignment="1">
      <alignment horizontal="left" vertical="top" wrapText="1" indent="1"/>
    </xf>
    <xf numFmtId="9" fontId="11" fillId="6" borderId="47" xfId="1" applyFont="1" applyFill="1" applyBorder="1" applyAlignment="1">
      <alignment horizontal="left" vertical="top" wrapText="1" indent="1"/>
    </xf>
    <xf numFmtId="0" fontId="11" fillId="7" borderId="45" xfId="0" applyFont="1" applyFill="1" applyBorder="1" applyAlignment="1">
      <alignment horizontal="left" vertical="top" wrapText="1" indent="1"/>
    </xf>
    <xf numFmtId="0" fontId="11" fillId="7" borderId="46" xfId="0" applyFont="1" applyFill="1" applyBorder="1" applyAlignment="1">
      <alignment horizontal="left" vertical="top" wrapText="1" indent="1"/>
    </xf>
    <xf numFmtId="0" fontId="11" fillId="7" borderId="46" xfId="1" applyNumberFormat="1" applyFont="1" applyFill="1" applyBorder="1" applyAlignment="1">
      <alignment horizontal="left" vertical="top" wrapText="1" indent="1"/>
    </xf>
    <xf numFmtId="9" fontId="11" fillId="7" borderId="47" xfId="1" applyFont="1" applyFill="1" applyBorder="1" applyAlignment="1">
      <alignment horizontal="left" vertical="top" wrapText="1" inden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1" applyFont="1" applyBorder="1" applyAlignment="1">
      <alignment horizontal="center"/>
    </xf>
    <xf numFmtId="0" fontId="0" fillId="0" borderId="0" xfId="0" applyAlignment="1">
      <alignment horizontal="left"/>
    </xf>
    <xf numFmtId="0" fontId="7" fillId="0" borderId="0" xfId="2" applyFill="1"/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5" borderId="25" xfId="0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5" borderId="26" xfId="0" applyFill="1" applyBorder="1" applyAlignment="1">
      <alignment horizontal="center"/>
    </xf>
    <xf numFmtId="0" fontId="2" fillId="3" borderId="2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3" borderId="4" xfId="0" applyFont="1" applyFill="1" applyBorder="1" applyAlignment="1">
      <alignment vertical="center"/>
    </xf>
  </cellXfs>
  <cellStyles count="3">
    <cellStyle name="Hyperlink" xfId="2" builtinId="8"/>
    <cellStyle name="Normal" xfId="0" builtinId="0"/>
    <cellStyle name="Percent" xfId="1" builtinId="5"/>
  </cellStyles>
  <dxfs count="4">
    <dxf>
      <border diagonalUp="0" diagonalDown="0">
        <left/>
        <right/>
        <top style="thin">
          <color theme="1"/>
        </top>
        <bottom/>
        <vertical/>
        <horizontal/>
      </border>
    </dxf>
    <dxf>
      <border diagonalUp="0" diagonalDown="0">
        <left/>
        <right/>
        <top style="thin">
          <color theme="1"/>
        </top>
        <bottom/>
        <vertical/>
        <horizontal/>
      </border>
    </dxf>
    <dxf>
      <numFmt numFmtId="19" formatCode="dd/mm/yyyy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586596</xdr:colOff>
          <xdr:row>0</xdr:row>
          <xdr:rowOff>51758</xdr:rowOff>
        </xdr:from>
        <xdr:to>
          <xdr:col>10</xdr:col>
          <xdr:colOff>310551</xdr:colOff>
          <xdr:row>1</xdr:row>
          <xdr:rowOff>155275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0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120770</xdr:colOff>
          <xdr:row>0</xdr:row>
          <xdr:rowOff>34506</xdr:rowOff>
        </xdr:from>
        <xdr:to>
          <xdr:col>8</xdr:col>
          <xdr:colOff>465826</xdr:colOff>
          <xdr:row>2</xdr:row>
          <xdr:rowOff>86264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2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Return to Admin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129396</xdr:colOff>
          <xdr:row>1</xdr:row>
          <xdr:rowOff>60385</xdr:rowOff>
        </xdr:from>
        <xdr:to>
          <xdr:col>6</xdr:col>
          <xdr:colOff>474453</xdr:colOff>
          <xdr:row>3</xdr:row>
          <xdr:rowOff>112143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Create Fixture Result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163902</xdr:colOff>
          <xdr:row>5</xdr:row>
          <xdr:rowOff>34506</xdr:rowOff>
        </xdr:from>
        <xdr:to>
          <xdr:col>6</xdr:col>
          <xdr:colOff>508958</xdr:colOff>
          <xdr:row>7</xdr:row>
          <xdr:rowOff>86264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Return to Admin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336430</xdr:colOff>
          <xdr:row>0</xdr:row>
          <xdr:rowOff>34506</xdr:rowOff>
        </xdr:from>
        <xdr:to>
          <xdr:col>16</xdr:col>
          <xdr:colOff>388189</xdr:colOff>
          <xdr:row>1</xdr:row>
          <xdr:rowOff>120770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ptos Narrow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379562</xdr:colOff>
          <xdr:row>0</xdr:row>
          <xdr:rowOff>60385</xdr:rowOff>
        </xdr:from>
        <xdr:to>
          <xdr:col>14</xdr:col>
          <xdr:colOff>103517</xdr:colOff>
          <xdr:row>1</xdr:row>
          <xdr:rowOff>138023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379562</xdr:colOff>
          <xdr:row>0</xdr:row>
          <xdr:rowOff>0</xdr:rowOff>
        </xdr:from>
        <xdr:to>
          <xdr:col>22</xdr:col>
          <xdr:colOff>103517</xdr:colOff>
          <xdr:row>2</xdr:row>
          <xdr:rowOff>112143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6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1009291</xdr:colOff>
          <xdr:row>19</xdr:row>
          <xdr:rowOff>8626</xdr:rowOff>
        </xdr:from>
        <xdr:to>
          <xdr:col>3</xdr:col>
          <xdr:colOff>646981</xdr:colOff>
          <xdr:row>21</xdr:row>
          <xdr:rowOff>8626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7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Fixture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431321</xdr:colOff>
          <xdr:row>0</xdr:row>
          <xdr:rowOff>103517</xdr:rowOff>
        </xdr:from>
        <xdr:to>
          <xdr:col>8</xdr:col>
          <xdr:colOff>198408</xdr:colOff>
          <xdr:row>0</xdr:row>
          <xdr:rowOff>353683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1112808</xdr:colOff>
          <xdr:row>19</xdr:row>
          <xdr:rowOff>86264</xdr:rowOff>
        </xdr:from>
        <xdr:to>
          <xdr:col>3</xdr:col>
          <xdr:colOff>750498</xdr:colOff>
          <xdr:row>21</xdr:row>
          <xdr:rowOff>86264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Fixture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388189</xdr:colOff>
          <xdr:row>0</xdr:row>
          <xdr:rowOff>112143</xdr:rowOff>
        </xdr:from>
        <xdr:to>
          <xdr:col>8</xdr:col>
          <xdr:colOff>155275</xdr:colOff>
          <xdr:row>0</xdr:row>
          <xdr:rowOff>362309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215660</xdr:colOff>
          <xdr:row>0</xdr:row>
          <xdr:rowOff>0</xdr:rowOff>
        </xdr:from>
        <xdr:to>
          <xdr:col>13</xdr:col>
          <xdr:colOff>379562</xdr:colOff>
          <xdr:row>1</xdr:row>
          <xdr:rowOff>155275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534838</xdr:colOff>
          <xdr:row>0</xdr:row>
          <xdr:rowOff>103517</xdr:rowOff>
        </xdr:from>
        <xdr:to>
          <xdr:col>15</xdr:col>
          <xdr:colOff>500332</xdr:colOff>
          <xdr:row>1</xdr:row>
          <xdr:rowOff>129396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ptos Narrow"/>
                </a:rPr>
                <a:t>Create PDF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17253</xdr:colOff>
          <xdr:row>0</xdr:row>
          <xdr:rowOff>51758</xdr:rowOff>
        </xdr:from>
        <xdr:to>
          <xdr:col>10</xdr:col>
          <xdr:colOff>362309</xdr:colOff>
          <xdr:row>1</xdr:row>
          <xdr:rowOff>163902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B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1009291</xdr:colOff>
          <xdr:row>19</xdr:row>
          <xdr:rowOff>8626</xdr:rowOff>
        </xdr:from>
        <xdr:to>
          <xdr:col>3</xdr:col>
          <xdr:colOff>646981</xdr:colOff>
          <xdr:row>21</xdr:row>
          <xdr:rowOff>8626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Fixture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431321</xdr:colOff>
          <xdr:row>0</xdr:row>
          <xdr:rowOff>103517</xdr:rowOff>
        </xdr:from>
        <xdr:to>
          <xdr:col>8</xdr:col>
          <xdr:colOff>198408</xdr:colOff>
          <xdr:row>0</xdr:row>
          <xdr:rowOff>353683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1009291</xdr:colOff>
          <xdr:row>19</xdr:row>
          <xdr:rowOff>8626</xdr:rowOff>
        </xdr:from>
        <xdr:to>
          <xdr:col>3</xdr:col>
          <xdr:colOff>646981</xdr:colOff>
          <xdr:row>21</xdr:row>
          <xdr:rowOff>8626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Fixture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431321</xdr:colOff>
          <xdr:row>0</xdr:row>
          <xdr:rowOff>103517</xdr:rowOff>
        </xdr:from>
        <xdr:to>
          <xdr:col>8</xdr:col>
          <xdr:colOff>198408</xdr:colOff>
          <xdr:row>0</xdr:row>
          <xdr:rowOff>353683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1112808</xdr:colOff>
          <xdr:row>19</xdr:row>
          <xdr:rowOff>86264</xdr:rowOff>
        </xdr:from>
        <xdr:to>
          <xdr:col>3</xdr:col>
          <xdr:colOff>750498</xdr:colOff>
          <xdr:row>21</xdr:row>
          <xdr:rowOff>86264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E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Fixture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388189</xdr:colOff>
          <xdr:row>0</xdr:row>
          <xdr:rowOff>112143</xdr:rowOff>
        </xdr:from>
        <xdr:to>
          <xdr:col>8</xdr:col>
          <xdr:colOff>155275</xdr:colOff>
          <xdr:row>0</xdr:row>
          <xdr:rowOff>362309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E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1112808</xdr:colOff>
          <xdr:row>19</xdr:row>
          <xdr:rowOff>86264</xdr:rowOff>
        </xdr:from>
        <xdr:to>
          <xdr:col>3</xdr:col>
          <xdr:colOff>750498</xdr:colOff>
          <xdr:row>21</xdr:row>
          <xdr:rowOff>86264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F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Fixture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388189</xdr:colOff>
          <xdr:row>0</xdr:row>
          <xdr:rowOff>112143</xdr:rowOff>
        </xdr:from>
        <xdr:to>
          <xdr:col>8</xdr:col>
          <xdr:colOff>155275</xdr:colOff>
          <xdr:row>0</xdr:row>
          <xdr:rowOff>362309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0F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1009291</xdr:colOff>
          <xdr:row>19</xdr:row>
          <xdr:rowOff>8626</xdr:rowOff>
        </xdr:from>
        <xdr:to>
          <xdr:col>3</xdr:col>
          <xdr:colOff>646981</xdr:colOff>
          <xdr:row>21</xdr:row>
          <xdr:rowOff>8626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0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Fixture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431321</xdr:colOff>
          <xdr:row>0</xdr:row>
          <xdr:rowOff>103517</xdr:rowOff>
        </xdr:from>
        <xdr:to>
          <xdr:col>8</xdr:col>
          <xdr:colOff>198408</xdr:colOff>
          <xdr:row>0</xdr:row>
          <xdr:rowOff>353683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0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1112808</xdr:colOff>
          <xdr:row>19</xdr:row>
          <xdr:rowOff>86264</xdr:rowOff>
        </xdr:from>
        <xdr:to>
          <xdr:col>3</xdr:col>
          <xdr:colOff>750498</xdr:colOff>
          <xdr:row>21</xdr:row>
          <xdr:rowOff>86264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1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Fixture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388189</xdr:colOff>
          <xdr:row>0</xdr:row>
          <xdr:rowOff>112143</xdr:rowOff>
        </xdr:from>
        <xdr:to>
          <xdr:col>8</xdr:col>
          <xdr:colOff>155275</xdr:colOff>
          <xdr:row>0</xdr:row>
          <xdr:rowOff>362309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11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1112808</xdr:colOff>
          <xdr:row>19</xdr:row>
          <xdr:rowOff>86264</xdr:rowOff>
        </xdr:from>
        <xdr:to>
          <xdr:col>3</xdr:col>
          <xdr:colOff>750498</xdr:colOff>
          <xdr:row>21</xdr:row>
          <xdr:rowOff>86264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2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Fixture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388189</xdr:colOff>
          <xdr:row>0</xdr:row>
          <xdr:rowOff>112143</xdr:rowOff>
        </xdr:from>
        <xdr:to>
          <xdr:col>8</xdr:col>
          <xdr:colOff>155275</xdr:colOff>
          <xdr:row>0</xdr:row>
          <xdr:rowOff>362309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12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1112808</xdr:colOff>
          <xdr:row>19</xdr:row>
          <xdr:rowOff>86264</xdr:rowOff>
        </xdr:from>
        <xdr:to>
          <xdr:col>3</xdr:col>
          <xdr:colOff>750498</xdr:colOff>
          <xdr:row>21</xdr:row>
          <xdr:rowOff>86264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3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Fixture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388189</xdr:colOff>
          <xdr:row>0</xdr:row>
          <xdr:rowOff>112143</xdr:rowOff>
        </xdr:from>
        <xdr:to>
          <xdr:col>8</xdr:col>
          <xdr:colOff>155275</xdr:colOff>
          <xdr:row>0</xdr:row>
          <xdr:rowOff>362309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3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1112808</xdr:colOff>
          <xdr:row>19</xdr:row>
          <xdr:rowOff>86264</xdr:rowOff>
        </xdr:from>
        <xdr:to>
          <xdr:col>3</xdr:col>
          <xdr:colOff>750498</xdr:colOff>
          <xdr:row>21</xdr:row>
          <xdr:rowOff>86264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4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Fixture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388189</xdr:colOff>
          <xdr:row>0</xdr:row>
          <xdr:rowOff>112143</xdr:rowOff>
        </xdr:from>
        <xdr:to>
          <xdr:col>8</xdr:col>
          <xdr:colOff>155275</xdr:colOff>
          <xdr:row>0</xdr:row>
          <xdr:rowOff>362309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4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1112808</xdr:colOff>
          <xdr:row>19</xdr:row>
          <xdr:rowOff>86264</xdr:rowOff>
        </xdr:from>
        <xdr:to>
          <xdr:col>3</xdr:col>
          <xdr:colOff>750498</xdr:colOff>
          <xdr:row>21</xdr:row>
          <xdr:rowOff>86264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15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Fixture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388189</xdr:colOff>
          <xdr:row>0</xdr:row>
          <xdr:rowOff>112143</xdr:rowOff>
        </xdr:from>
        <xdr:to>
          <xdr:col>8</xdr:col>
          <xdr:colOff>155275</xdr:colOff>
          <xdr:row>0</xdr:row>
          <xdr:rowOff>362309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15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1009291</xdr:colOff>
          <xdr:row>19</xdr:row>
          <xdr:rowOff>8626</xdr:rowOff>
        </xdr:from>
        <xdr:to>
          <xdr:col>3</xdr:col>
          <xdr:colOff>646981</xdr:colOff>
          <xdr:row>21</xdr:row>
          <xdr:rowOff>8626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6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Fixture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431321</xdr:colOff>
          <xdr:row>0</xdr:row>
          <xdr:rowOff>103517</xdr:rowOff>
        </xdr:from>
        <xdr:to>
          <xdr:col>8</xdr:col>
          <xdr:colOff>198408</xdr:colOff>
          <xdr:row>0</xdr:row>
          <xdr:rowOff>353683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16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1112808</xdr:colOff>
          <xdr:row>19</xdr:row>
          <xdr:rowOff>86264</xdr:rowOff>
        </xdr:from>
        <xdr:to>
          <xdr:col>3</xdr:col>
          <xdr:colOff>750498</xdr:colOff>
          <xdr:row>21</xdr:row>
          <xdr:rowOff>86264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17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Fixture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388189</xdr:colOff>
          <xdr:row>0</xdr:row>
          <xdr:rowOff>112143</xdr:rowOff>
        </xdr:from>
        <xdr:to>
          <xdr:col>8</xdr:col>
          <xdr:colOff>155275</xdr:colOff>
          <xdr:row>0</xdr:row>
          <xdr:rowOff>362309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17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1009291</xdr:colOff>
          <xdr:row>19</xdr:row>
          <xdr:rowOff>8626</xdr:rowOff>
        </xdr:from>
        <xdr:to>
          <xdr:col>3</xdr:col>
          <xdr:colOff>646981</xdr:colOff>
          <xdr:row>21</xdr:row>
          <xdr:rowOff>8626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8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Fixture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431321</xdr:colOff>
          <xdr:row>0</xdr:row>
          <xdr:rowOff>103517</xdr:rowOff>
        </xdr:from>
        <xdr:to>
          <xdr:col>8</xdr:col>
          <xdr:colOff>198408</xdr:colOff>
          <xdr:row>0</xdr:row>
          <xdr:rowOff>353683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18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1009291</xdr:colOff>
          <xdr:row>19</xdr:row>
          <xdr:rowOff>8626</xdr:rowOff>
        </xdr:from>
        <xdr:to>
          <xdr:col>3</xdr:col>
          <xdr:colOff>646981</xdr:colOff>
          <xdr:row>21</xdr:row>
          <xdr:rowOff>8626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9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Fixture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431321</xdr:colOff>
          <xdr:row>0</xdr:row>
          <xdr:rowOff>103517</xdr:rowOff>
        </xdr:from>
        <xdr:to>
          <xdr:col>8</xdr:col>
          <xdr:colOff>198408</xdr:colOff>
          <xdr:row>0</xdr:row>
          <xdr:rowOff>353683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9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1009291</xdr:colOff>
          <xdr:row>19</xdr:row>
          <xdr:rowOff>8626</xdr:rowOff>
        </xdr:from>
        <xdr:to>
          <xdr:col>3</xdr:col>
          <xdr:colOff>646981</xdr:colOff>
          <xdr:row>21</xdr:row>
          <xdr:rowOff>8626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1A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Fixture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431321</xdr:colOff>
          <xdr:row>0</xdr:row>
          <xdr:rowOff>103517</xdr:rowOff>
        </xdr:from>
        <xdr:to>
          <xdr:col>8</xdr:col>
          <xdr:colOff>198408</xdr:colOff>
          <xdr:row>0</xdr:row>
          <xdr:rowOff>353683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1A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Return to Navigation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E719DF-692C-4ED6-9A86-193AFDCC96F8}" name="Fixtures" displayName="Fixtures" ref="A1:C15" totalsRowShown="0" tableBorderDxfId="3">
  <autoFilter ref="A1:C15" xr:uid="{3EE719DF-692C-4ED6-9A86-193AFDCC96F8}"/>
  <tableColumns count="3">
    <tableColumn id="1" xr3:uid="{2479D86B-F2A8-4CBF-B92D-2AB6A960913D}" name="Date" dataDxfId="2"/>
    <tableColumn id="2" xr3:uid="{11436790-4DF9-46C5-9A10-0DD63AB2AB28}" name="Team" dataDxfId="1"/>
    <tableColumn id="3" xr3:uid="{651426C4-D207-4E78-8107-38CF332781E1}" name="Home/Away (H/A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ctrlProp" Target="../ctrlProps/ctrlProp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ctrlProp" Target="../ctrlProps/ctrlProp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98A28-4FA6-4922-9166-2FE353AAA724}">
  <sheetPr codeName="Sheet1"/>
  <dimension ref="A1:E17"/>
  <sheetViews>
    <sheetView workbookViewId="0">
      <selection activeCell="B16" sqref="B16"/>
    </sheetView>
  </sheetViews>
  <sheetFormatPr defaultRowHeight="14.3" x14ac:dyDescent="0.25"/>
  <sheetData>
    <row r="1" spans="1:5" ht="14.95" thickBot="1" x14ac:dyDescent="0.3">
      <c r="A1" s="48" t="s">
        <v>8</v>
      </c>
      <c r="B1" s="49" t="s">
        <v>98</v>
      </c>
      <c r="C1" s="49" t="s">
        <v>24</v>
      </c>
      <c r="D1" s="50" t="s">
        <v>25</v>
      </c>
      <c r="E1" s="51" t="s">
        <v>99</v>
      </c>
    </row>
    <row r="2" spans="1:5" ht="15.65" thickTop="1" thickBot="1" x14ac:dyDescent="0.3">
      <c r="A2" s="52" t="s">
        <v>66</v>
      </c>
      <c r="B2" s="53" t="s">
        <v>73</v>
      </c>
      <c r="C2" s="53">
        <v>1</v>
      </c>
      <c r="D2" s="53">
        <v>1</v>
      </c>
      <c r="E2" s="54">
        <f t="shared" ref="E2:E6" si="0">IFERROR(D2/C2,0)</f>
        <v>1</v>
      </c>
    </row>
    <row r="3" spans="1:5" ht="15.65" thickTop="1" thickBot="1" x14ac:dyDescent="0.3">
      <c r="A3" s="52" t="s">
        <v>75</v>
      </c>
      <c r="B3" s="53" t="s">
        <v>64</v>
      </c>
      <c r="C3" s="53">
        <v>1</v>
      </c>
      <c r="D3" s="53">
        <v>0</v>
      </c>
      <c r="E3" s="54">
        <f t="shared" si="0"/>
        <v>0</v>
      </c>
    </row>
    <row r="4" spans="1:5" ht="15.65" thickTop="1" thickBot="1" x14ac:dyDescent="0.3">
      <c r="A4" s="52" t="s">
        <v>77</v>
      </c>
      <c r="B4" s="53" t="s">
        <v>68</v>
      </c>
      <c r="C4" s="53">
        <v>1</v>
      </c>
      <c r="D4" s="53">
        <v>1</v>
      </c>
      <c r="E4" s="54">
        <f t="shared" si="0"/>
        <v>1</v>
      </c>
    </row>
    <row r="5" spans="1:5" ht="15.65" thickTop="1" thickBot="1" x14ac:dyDescent="0.3">
      <c r="A5" s="52" t="s">
        <v>102</v>
      </c>
      <c r="B5" s="53" t="s">
        <v>64</v>
      </c>
      <c r="C5" s="53">
        <v>2</v>
      </c>
      <c r="D5" s="53">
        <v>1</v>
      </c>
      <c r="E5" s="54">
        <f t="shared" si="0"/>
        <v>0.5</v>
      </c>
    </row>
    <row r="6" spans="1:5" ht="15.65" thickTop="1" thickBot="1" x14ac:dyDescent="0.3">
      <c r="A6" s="55" t="s">
        <v>73</v>
      </c>
      <c r="B6" s="56" t="s">
        <v>79</v>
      </c>
      <c r="C6" s="56">
        <v>1</v>
      </c>
      <c r="D6" s="57">
        <v>1</v>
      </c>
      <c r="E6" s="58">
        <f t="shared" si="0"/>
        <v>1</v>
      </c>
    </row>
    <row r="7" spans="1:5" ht="15.65" thickTop="1" thickBot="1" x14ac:dyDescent="0.3">
      <c r="A7" s="55" t="s">
        <v>66</v>
      </c>
      <c r="B7" s="56" t="s">
        <v>104</v>
      </c>
      <c r="C7" s="56">
        <v>1</v>
      </c>
      <c r="D7" s="57">
        <v>0</v>
      </c>
      <c r="E7" s="58">
        <f t="shared" ref="E7:E8" si="1">IFERROR(D7/C7,0)</f>
        <v>0</v>
      </c>
    </row>
    <row r="8" spans="1:5" ht="15.65" thickTop="1" thickBot="1" x14ac:dyDescent="0.3">
      <c r="A8" s="55" t="s">
        <v>104</v>
      </c>
      <c r="B8" s="56" t="s">
        <v>71</v>
      </c>
      <c r="C8" s="56">
        <v>1</v>
      </c>
      <c r="D8" s="57">
        <v>1</v>
      </c>
      <c r="E8" s="58">
        <f t="shared" si="1"/>
        <v>1</v>
      </c>
    </row>
    <row r="9" spans="1:5" ht="15.65" thickTop="1" thickBot="1" x14ac:dyDescent="0.3">
      <c r="A9" s="55" t="s">
        <v>102</v>
      </c>
      <c r="B9" s="56" t="s">
        <v>65</v>
      </c>
      <c r="C9" s="56">
        <v>1</v>
      </c>
      <c r="D9" s="57">
        <v>0</v>
      </c>
      <c r="E9" s="58">
        <f t="shared" ref="E9:E10" si="2">IFERROR(D9/C9,0)</f>
        <v>0</v>
      </c>
    </row>
    <row r="10" spans="1:5" ht="15.65" thickTop="1" thickBot="1" x14ac:dyDescent="0.3">
      <c r="A10" s="55" t="s">
        <v>66</v>
      </c>
      <c r="B10" s="56" t="s">
        <v>106</v>
      </c>
      <c r="C10" s="56">
        <v>1</v>
      </c>
      <c r="D10" s="57">
        <v>0</v>
      </c>
      <c r="E10" s="58">
        <f t="shared" si="2"/>
        <v>0</v>
      </c>
    </row>
    <row r="11" spans="1:5" ht="15.65" thickTop="1" thickBot="1" x14ac:dyDescent="0.3">
      <c r="A11" s="55" t="s">
        <v>102</v>
      </c>
      <c r="B11" s="56" t="s">
        <v>75</v>
      </c>
      <c r="C11" s="56">
        <v>1</v>
      </c>
      <c r="D11" s="57">
        <v>0</v>
      </c>
      <c r="E11" s="58">
        <f t="shared" ref="E11" si="3">IFERROR(D11/C11,0)</f>
        <v>0</v>
      </c>
    </row>
    <row r="12" spans="1:5" ht="15.65" thickTop="1" thickBot="1" x14ac:dyDescent="0.3">
      <c r="A12" s="55" t="s">
        <v>68</v>
      </c>
      <c r="B12" s="56" t="s">
        <v>104</v>
      </c>
      <c r="C12" s="56">
        <v>1</v>
      </c>
      <c r="D12" s="57">
        <v>0</v>
      </c>
      <c r="E12" s="58">
        <f t="shared" ref="E12:E13" si="4">IFERROR(D12/C12,0)</f>
        <v>0</v>
      </c>
    </row>
    <row r="13" spans="1:5" ht="15.65" thickTop="1" thickBot="1" x14ac:dyDescent="0.3">
      <c r="A13" s="55" t="s">
        <v>71</v>
      </c>
      <c r="B13" s="56" t="s">
        <v>73</v>
      </c>
      <c r="C13" s="56">
        <v>1</v>
      </c>
      <c r="D13" s="57">
        <v>0</v>
      </c>
      <c r="E13" s="58">
        <f t="shared" si="4"/>
        <v>0</v>
      </c>
    </row>
    <row r="14" spans="1:5" ht="15.65" thickTop="1" thickBot="1" x14ac:dyDescent="0.3">
      <c r="A14" s="55" t="s">
        <v>68</v>
      </c>
      <c r="B14" s="56" t="s">
        <v>71</v>
      </c>
      <c r="C14" s="56">
        <v>1</v>
      </c>
      <c r="D14" s="57">
        <v>0</v>
      </c>
      <c r="E14" s="58">
        <f t="shared" ref="E14:E16" si="5">IFERROR(D14/C14,0)</f>
        <v>0</v>
      </c>
    </row>
    <row r="15" spans="1:5" ht="15.65" thickTop="1" thickBot="1" x14ac:dyDescent="0.3">
      <c r="A15" s="55" t="s">
        <v>106</v>
      </c>
      <c r="B15" s="56" t="s">
        <v>73</v>
      </c>
      <c r="C15" s="56">
        <v>1</v>
      </c>
      <c r="D15" s="57">
        <v>0</v>
      </c>
      <c r="E15" s="58">
        <f t="shared" si="5"/>
        <v>0</v>
      </c>
    </row>
    <row r="16" spans="1:5" ht="15.65" thickTop="1" thickBot="1" x14ac:dyDescent="0.3">
      <c r="A16" s="55" t="s">
        <v>112</v>
      </c>
      <c r="B16" s="56" t="s">
        <v>112</v>
      </c>
      <c r="C16" s="56">
        <v>1</v>
      </c>
      <c r="D16" s="57">
        <v>0</v>
      </c>
      <c r="E16" s="58">
        <f t="shared" si="5"/>
        <v>0</v>
      </c>
    </row>
    <row r="17" ht="14.9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4" r:id="rId3" name="Button 2">
              <controlPr defaultSize="0" print="0" autoFill="0" autoPict="0" macro="[0]!GoToNavigation">
                <anchor moveWithCells="1">
                  <from>
                    <xdr:col>6</xdr:col>
                    <xdr:colOff>586596</xdr:colOff>
                    <xdr:row>0</xdr:row>
                    <xdr:rowOff>51758</xdr:rowOff>
                  </from>
                  <to>
                    <xdr:col>10</xdr:col>
                    <xdr:colOff>310551</xdr:colOff>
                    <xdr:row>1</xdr:row>
                    <xdr:rowOff>155275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03A0E-AC1F-4909-BA98-A89389588081}">
  <sheetPr codeName="Admin"/>
  <dimension ref="E3:J13"/>
  <sheetViews>
    <sheetView workbookViewId="0">
      <selection activeCell="J3" sqref="J3"/>
    </sheetView>
  </sheetViews>
  <sheetFormatPr defaultRowHeight="14.3" x14ac:dyDescent="0.25"/>
  <cols>
    <col min="5" max="5" width="14.125" customWidth="1"/>
  </cols>
  <sheetData>
    <row r="3" spans="5:10" x14ac:dyDescent="0.25">
      <c r="E3" t="s">
        <v>39</v>
      </c>
      <c r="J3" t="s">
        <v>33</v>
      </c>
    </row>
    <row r="5" spans="5:10" x14ac:dyDescent="0.25">
      <c r="E5" t="s">
        <v>40</v>
      </c>
      <c r="J5" s="45" t="s">
        <v>34</v>
      </c>
    </row>
    <row r="7" spans="5:10" x14ac:dyDescent="0.25">
      <c r="E7" t="s">
        <v>41</v>
      </c>
      <c r="J7" s="45" t="s">
        <v>38</v>
      </c>
    </row>
    <row r="9" spans="5:10" x14ac:dyDescent="0.25">
      <c r="E9" t="s">
        <v>42</v>
      </c>
      <c r="J9" s="45" t="s">
        <v>48</v>
      </c>
    </row>
    <row r="11" spans="5:10" x14ac:dyDescent="0.25">
      <c r="E11" t="s">
        <v>43</v>
      </c>
      <c r="J11" s="45" t="s">
        <v>49</v>
      </c>
    </row>
    <row r="13" spans="5:10" x14ac:dyDescent="0.25">
      <c r="J13" s="45" t="s">
        <v>47</v>
      </c>
    </row>
  </sheetData>
  <hyperlinks>
    <hyperlink ref="J5" location="Teams!A1" display="Teams" xr:uid="{B86DBF22-9946-4209-AA6F-CA48F902720E}"/>
    <hyperlink ref="J7" location="Fixtures!A1" display="Fixtures" xr:uid="{CAE31C1F-7998-4BD1-A873-818BF0C8CB28}"/>
    <hyperlink ref="J9" location="HomeGame!A1" display="HomeGame" xr:uid="{33EBA0C5-F279-4A0A-915B-BA4962E5036D}"/>
    <hyperlink ref="J11" location="AwayGame!A1" display="AwayGame" xr:uid="{9D39D136-864E-4617-B7E7-307D7E551AC3}"/>
    <hyperlink ref="J13" location="Navigation!A1" display="Navigation" xr:uid="{D9E7A874-98C9-488A-8B16-BFF58FA42FC2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906A6-826E-4D2D-989E-B4853D2E7A77}">
  <sheetPr codeName="Players"/>
  <dimension ref="A1:C14"/>
  <sheetViews>
    <sheetView workbookViewId="0">
      <selection sqref="A1:C14"/>
    </sheetView>
  </sheetViews>
  <sheetFormatPr defaultRowHeight="14.3" x14ac:dyDescent="0.25"/>
  <cols>
    <col min="1" max="1" width="11.875" customWidth="1"/>
    <col min="2" max="2" width="11.625" customWidth="1"/>
    <col min="3" max="3" width="10.625" customWidth="1"/>
  </cols>
  <sheetData>
    <row r="1" spans="1:3" x14ac:dyDescent="0.25">
      <c r="A1" s="10" t="s">
        <v>0</v>
      </c>
      <c r="B1" s="6" t="s">
        <v>1</v>
      </c>
      <c r="C1" s="7" t="s">
        <v>2</v>
      </c>
    </row>
    <row r="2" spans="1:3" x14ac:dyDescent="0.25">
      <c r="A2" s="2" t="s">
        <v>102</v>
      </c>
      <c r="B2" s="2" t="s">
        <v>103</v>
      </c>
      <c r="C2" s="2" t="s">
        <v>102</v>
      </c>
    </row>
    <row r="3" spans="1:3" x14ac:dyDescent="0.25">
      <c r="A3" s="2" t="s">
        <v>75</v>
      </c>
      <c r="B3" s="2" t="s">
        <v>76</v>
      </c>
      <c r="C3" s="2" t="s">
        <v>75</v>
      </c>
    </row>
    <row r="4" spans="1:3" x14ac:dyDescent="0.25">
      <c r="A4" s="2" t="s">
        <v>66</v>
      </c>
      <c r="B4" s="2" t="s">
        <v>67</v>
      </c>
      <c r="C4" s="2" t="s">
        <v>66</v>
      </c>
    </row>
    <row r="5" spans="1:3" x14ac:dyDescent="0.25">
      <c r="A5" s="2" t="s">
        <v>70</v>
      </c>
      <c r="B5" s="2" t="s">
        <v>105</v>
      </c>
      <c r="C5" s="2" t="s">
        <v>106</v>
      </c>
    </row>
    <row r="6" spans="1:3" x14ac:dyDescent="0.25">
      <c r="A6" s="2" t="s">
        <v>70</v>
      </c>
      <c r="B6" s="2" t="s">
        <v>108</v>
      </c>
      <c r="C6" s="2" t="s">
        <v>109</v>
      </c>
    </row>
    <row r="7" spans="1:3" x14ac:dyDescent="0.25">
      <c r="A7" s="2" t="s">
        <v>64</v>
      </c>
      <c r="B7" s="2" t="s">
        <v>63</v>
      </c>
      <c r="C7" s="2" t="s">
        <v>64</v>
      </c>
    </row>
    <row r="8" spans="1:3" x14ac:dyDescent="0.25">
      <c r="A8" s="2" t="s">
        <v>101</v>
      </c>
      <c r="B8" s="2" t="s">
        <v>78</v>
      </c>
      <c r="C8" s="2" t="s">
        <v>77</v>
      </c>
    </row>
    <row r="9" spans="1:3" x14ac:dyDescent="0.25">
      <c r="A9" s="2" t="s">
        <v>68</v>
      </c>
      <c r="B9" s="2" t="s">
        <v>69</v>
      </c>
      <c r="C9" s="2" t="s">
        <v>68</v>
      </c>
    </row>
    <row r="10" spans="1:3" x14ac:dyDescent="0.25">
      <c r="A10" s="2" t="s">
        <v>104</v>
      </c>
      <c r="B10" s="2" t="s">
        <v>103</v>
      </c>
      <c r="C10" s="2" t="s">
        <v>104</v>
      </c>
    </row>
    <row r="11" spans="1:3" x14ac:dyDescent="0.25">
      <c r="A11" s="2" t="s">
        <v>65</v>
      </c>
      <c r="B11" s="2" t="s">
        <v>107</v>
      </c>
      <c r="C11" s="2" t="s">
        <v>65</v>
      </c>
    </row>
    <row r="12" spans="1:3" x14ac:dyDescent="0.25">
      <c r="A12" s="2" t="s">
        <v>71</v>
      </c>
      <c r="B12" s="2" t="s">
        <v>72</v>
      </c>
      <c r="C12" s="2" t="s">
        <v>71</v>
      </c>
    </row>
    <row r="13" spans="1:3" x14ac:dyDescent="0.25">
      <c r="A13" s="2" t="s">
        <v>73</v>
      </c>
      <c r="B13" s="2" t="s">
        <v>74</v>
      </c>
      <c r="C13" s="2" t="s">
        <v>73</v>
      </c>
    </row>
    <row r="14" spans="1:3" x14ac:dyDescent="0.25">
      <c r="A14" s="2" t="s">
        <v>79</v>
      </c>
      <c r="B14" s="2" t="s">
        <v>80</v>
      </c>
      <c r="C14" s="2" t="s">
        <v>79</v>
      </c>
    </row>
  </sheetData>
  <sortState xmlns:xlrd2="http://schemas.microsoft.com/office/spreadsheetml/2017/richdata2" ref="A2:C14">
    <sortCondition ref="C2:C14"/>
  </sortState>
  <dataConsolidate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gotoadmin">
                <anchor moveWithCells="1">
                  <from>
                    <xdr:col>5</xdr:col>
                    <xdr:colOff>120770</xdr:colOff>
                    <xdr:row>0</xdr:row>
                    <xdr:rowOff>34506</xdr:rowOff>
                  </from>
                  <to>
                    <xdr:col>8</xdr:col>
                    <xdr:colOff>465826</xdr:colOff>
                    <xdr:row>2</xdr:row>
                    <xdr:rowOff>86264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8B4A-2A43-49C2-B9D0-C9CE58CA9A11}">
  <sheetPr codeName="Teams"/>
  <dimension ref="A1:B12"/>
  <sheetViews>
    <sheetView workbookViewId="0">
      <selection activeCell="A3" sqref="A3"/>
    </sheetView>
  </sheetViews>
  <sheetFormatPr defaultRowHeight="14.3" x14ac:dyDescent="0.25"/>
  <cols>
    <col min="1" max="1" width="21" customWidth="1"/>
    <col min="2" max="2" width="34.375" customWidth="1"/>
  </cols>
  <sheetData>
    <row r="1" spans="1:2" x14ac:dyDescent="0.25">
      <c r="A1" s="10" t="s">
        <v>6</v>
      </c>
      <c r="B1" s="7" t="s">
        <v>7</v>
      </c>
    </row>
    <row r="2" spans="1:2" x14ac:dyDescent="0.25">
      <c r="A2" s="11" t="s">
        <v>50</v>
      </c>
      <c r="B2" s="9" t="s">
        <v>51</v>
      </c>
    </row>
    <row r="3" spans="1:2" x14ac:dyDescent="0.25">
      <c r="A3" s="11" t="s">
        <v>53</v>
      </c>
      <c r="B3" s="9"/>
    </row>
    <row r="4" spans="1:2" x14ac:dyDescent="0.25">
      <c r="A4" s="11" t="s">
        <v>54</v>
      </c>
      <c r="B4" s="9"/>
    </row>
    <row r="5" spans="1:2" x14ac:dyDescent="0.25">
      <c r="A5" s="11" t="s">
        <v>55</v>
      </c>
      <c r="B5" s="9"/>
    </row>
    <row r="6" spans="1:2" x14ac:dyDescent="0.25">
      <c r="A6" s="11" t="s">
        <v>56</v>
      </c>
      <c r="B6" s="9"/>
    </row>
    <row r="7" spans="1:2" x14ac:dyDescent="0.25">
      <c r="A7" s="11" t="s">
        <v>57</v>
      </c>
      <c r="B7" s="9"/>
    </row>
    <row r="8" spans="1:2" x14ac:dyDescent="0.25">
      <c r="A8" s="11" t="s">
        <v>58</v>
      </c>
      <c r="B8" s="9"/>
    </row>
    <row r="9" spans="1:2" x14ac:dyDescent="0.25">
      <c r="A9" s="11" t="s">
        <v>59</v>
      </c>
      <c r="B9" s="9"/>
    </row>
    <row r="10" spans="1:2" x14ac:dyDescent="0.25">
      <c r="A10" s="11" t="s">
        <v>60</v>
      </c>
      <c r="B10" s="9"/>
    </row>
    <row r="11" spans="1:2" x14ac:dyDescent="0.25">
      <c r="A11" s="11" t="s">
        <v>61</v>
      </c>
      <c r="B11" s="9"/>
    </row>
    <row r="12" spans="1:2" x14ac:dyDescent="0.25">
      <c r="A12" s="11" t="s">
        <v>62</v>
      </c>
      <c r="B12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27508-7809-4C12-8C36-9E3A608B62CF}">
  <sheetPr codeName="Fixtures"/>
  <dimension ref="A1:C15"/>
  <sheetViews>
    <sheetView workbookViewId="0">
      <selection activeCell="B9" sqref="B9"/>
    </sheetView>
  </sheetViews>
  <sheetFormatPr defaultRowHeight="14.3" x14ac:dyDescent="0.25"/>
  <cols>
    <col min="1" max="1" width="16.625" style="1" customWidth="1"/>
    <col min="2" max="2" width="23.625" customWidth="1"/>
    <col min="3" max="3" width="17.75" customWidth="1"/>
  </cols>
  <sheetData>
    <row r="1" spans="1:3" x14ac:dyDescent="0.25">
      <c r="A1" s="13" t="s">
        <v>3</v>
      </c>
      <c r="B1" s="14" t="s">
        <v>4</v>
      </c>
      <c r="C1" s="14" t="s">
        <v>5</v>
      </c>
    </row>
    <row r="2" spans="1:3" x14ac:dyDescent="0.25">
      <c r="A2" s="12">
        <v>45677</v>
      </c>
      <c r="B2" s="8" t="s">
        <v>55</v>
      </c>
      <c r="C2" s="8" t="s">
        <v>81</v>
      </c>
    </row>
    <row r="3" spans="1:3" x14ac:dyDescent="0.25">
      <c r="A3" s="12">
        <v>45684</v>
      </c>
      <c r="B3" s="8" t="s">
        <v>58</v>
      </c>
      <c r="C3" s="8" t="s">
        <v>81</v>
      </c>
    </row>
    <row r="4" spans="1:3" x14ac:dyDescent="0.25">
      <c r="A4" s="12">
        <v>45691</v>
      </c>
      <c r="B4" s="8" t="s">
        <v>53</v>
      </c>
      <c r="C4" s="8" t="s">
        <v>82</v>
      </c>
    </row>
    <row r="5" spans="1:3" x14ac:dyDescent="0.25">
      <c r="A5" s="12">
        <v>45705</v>
      </c>
      <c r="B5" s="8" t="s">
        <v>59</v>
      </c>
      <c r="C5" s="8" t="s">
        <v>81</v>
      </c>
    </row>
    <row r="6" spans="1:3" x14ac:dyDescent="0.25">
      <c r="A6" s="12">
        <v>45726</v>
      </c>
      <c r="B6" s="8" t="s">
        <v>54</v>
      </c>
      <c r="C6" s="8" t="s">
        <v>82</v>
      </c>
    </row>
    <row r="7" spans="1:3" x14ac:dyDescent="0.25">
      <c r="A7" s="12">
        <v>45740</v>
      </c>
      <c r="B7" s="8" t="s">
        <v>57</v>
      </c>
      <c r="C7" s="8" t="s">
        <v>82</v>
      </c>
    </row>
    <row r="8" spans="1:3" x14ac:dyDescent="0.25">
      <c r="A8" s="12">
        <v>45747</v>
      </c>
      <c r="B8" s="8" t="s">
        <v>56</v>
      </c>
      <c r="C8" s="8" t="s">
        <v>82</v>
      </c>
    </row>
    <row r="9" spans="1:3" x14ac:dyDescent="0.25">
      <c r="A9" s="12">
        <v>45761</v>
      </c>
      <c r="B9" s="8" t="s">
        <v>55</v>
      </c>
      <c r="C9" s="8" t="s">
        <v>82</v>
      </c>
    </row>
    <row r="10" spans="1:3" x14ac:dyDescent="0.25">
      <c r="A10" s="12">
        <v>45768</v>
      </c>
      <c r="B10" s="8" t="s">
        <v>58</v>
      </c>
      <c r="C10" s="8" t="s">
        <v>82</v>
      </c>
    </row>
    <row r="11" spans="1:3" x14ac:dyDescent="0.25">
      <c r="A11" s="12">
        <v>45775</v>
      </c>
      <c r="B11" s="8" t="s">
        <v>53</v>
      </c>
      <c r="C11" s="8" t="s">
        <v>81</v>
      </c>
    </row>
    <row r="12" spans="1:3" x14ac:dyDescent="0.25">
      <c r="A12" s="12">
        <v>45796</v>
      </c>
      <c r="B12" s="8" t="s">
        <v>59</v>
      </c>
      <c r="C12" s="8" t="s">
        <v>82</v>
      </c>
    </row>
    <row r="13" spans="1:3" x14ac:dyDescent="0.25">
      <c r="A13" s="12">
        <v>45810</v>
      </c>
      <c r="B13" s="8" t="s">
        <v>54</v>
      </c>
      <c r="C13" s="8" t="s">
        <v>81</v>
      </c>
    </row>
    <row r="14" spans="1:3" x14ac:dyDescent="0.25">
      <c r="A14" s="12">
        <v>45824</v>
      </c>
      <c r="B14" s="8" t="s">
        <v>57</v>
      </c>
      <c r="C14" s="8" t="s">
        <v>81</v>
      </c>
    </row>
    <row r="15" spans="1:3" x14ac:dyDescent="0.25">
      <c r="A15" s="12">
        <v>45838</v>
      </c>
      <c r="B15" s="8" t="s">
        <v>56</v>
      </c>
      <c r="C15" s="8" t="s">
        <v>81</v>
      </c>
    </row>
  </sheetData>
  <dataValidations count="2">
    <dataValidation type="list" allowBlank="1" showInputMessage="1" showErrorMessage="1" sqref="B2:B15" xr:uid="{7416516D-FCBB-4EC5-B136-7857D71E293A}">
      <formula1>TeamName</formula1>
    </dataValidation>
    <dataValidation type="list" allowBlank="1" showInputMessage="1" showErrorMessage="1" sqref="C2:C15" xr:uid="{007B9113-45CB-421C-B428-CEADE5266460}">
      <formula1>"Home,Away"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reateFixtureResults">
                <anchor moveWithCells="1">
                  <from>
                    <xdr:col>3</xdr:col>
                    <xdr:colOff>129396</xdr:colOff>
                    <xdr:row>1</xdr:row>
                    <xdr:rowOff>60385</xdr:rowOff>
                  </from>
                  <to>
                    <xdr:col>6</xdr:col>
                    <xdr:colOff>474453</xdr:colOff>
                    <xdr:row>3</xdr:row>
                    <xdr:rowOff>112143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gotoadmin">
                <anchor moveWithCells="1">
                  <from>
                    <xdr:col>3</xdr:col>
                    <xdr:colOff>163902</xdr:colOff>
                    <xdr:row>5</xdr:row>
                    <xdr:rowOff>34506</xdr:rowOff>
                  </from>
                  <to>
                    <xdr:col>6</xdr:col>
                    <xdr:colOff>508958</xdr:colOff>
                    <xdr:row>7</xdr:row>
                    <xdr:rowOff>86264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CA6C2-4C1F-495E-8855-C87289EB1A1E}">
  <sheetPr codeName="PlayerWL"/>
  <dimension ref="A1:J15"/>
  <sheetViews>
    <sheetView workbookViewId="0">
      <selection sqref="A1:J15"/>
    </sheetView>
  </sheetViews>
  <sheetFormatPr defaultRowHeight="14.3" x14ac:dyDescent="0.25"/>
  <cols>
    <col min="4" max="4" width="9" style="44"/>
    <col min="7" max="7" width="9" style="44"/>
    <col min="10" max="10" width="9" style="44"/>
  </cols>
  <sheetData>
    <row r="1" spans="1:10" x14ac:dyDescent="0.25">
      <c r="A1" s="15" t="s">
        <v>8</v>
      </c>
      <c r="B1" s="64" t="s">
        <v>23</v>
      </c>
      <c r="C1" s="65"/>
      <c r="D1" s="66"/>
      <c r="E1" s="67" t="s">
        <v>26</v>
      </c>
      <c r="F1" s="65"/>
      <c r="G1" s="66"/>
      <c r="H1" s="65" t="s">
        <v>27</v>
      </c>
      <c r="I1" s="65"/>
      <c r="J1" s="68"/>
    </row>
    <row r="2" spans="1:10" x14ac:dyDescent="0.25">
      <c r="A2" s="21" t="s">
        <v>52</v>
      </c>
      <c r="B2" s="16" t="s">
        <v>24</v>
      </c>
      <c r="C2" s="16" t="s">
        <v>25</v>
      </c>
      <c r="D2" s="42" t="s">
        <v>28</v>
      </c>
      <c r="E2" s="16" t="s">
        <v>24</v>
      </c>
      <c r="F2" s="16" t="s">
        <v>25</v>
      </c>
      <c r="G2" s="42" t="s">
        <v>28</v>
      </c>
      <c r="H2" s="16" t="s">
        <v>24</v>
      </c>
      <c r="I2" s="16" t="s">
        <v>25</v>
      </c>
      <c r="J2" s="42" t="s">
        <v>28</v>
      </c>
    </row>
    <row r="3" spans="1:10" x14ac:dyDescent="0.25">
      <c r="A3" s="21" t="s">
        <v>66</v>
      </c>
      <c r="B3" s="16">
        <v>3</v>
      </c>
      <c r="C3" s="16">
        <v>1</v>
      </c>
      <c r="D3" s="42">
        <f>IF(DP_Callum,DW_Callum / DP_Callum,"")</f>
        <v>0.33333333333333331</v>
      </c>
      <c r="E3" s="16">
        <v>2</v>
      </c>
      <c r="F3" s="16">
        <v>2</v>
      </c>
      <c r="G3" s="42">
        <f>IF(SP_Callum,SW_Callum / SP_Callum,"")</f>
        <v>1</v>
      </c>
      <c r="H3" s="16">
        <f>DP_Callum + SP_Callum</f>
        <v>5</v>
      </c>
      <c r="I3" s="16">
        <f>DW_Callum + SW_Callum</f>
        <v>3</v>
      </c>
      <c r="J3" s="42">
        <f>IF(OP_Callum,OW_Callum / OP_Callum,"")</f>
        <v>0.6</v>
      </c>
    </row>
    <row r="4" spans="1:10" x14ac:dyDescent="0.25">
      <c r="A4" s="21" t="s">
        <v>73</v>
      </c>
      <c r="B4" s="16">
        <v>4</v>
      </c>
      <c r="C4" s="16">
        <v>2</v>
      </c>
      <c r="D4" s="42">
        <f>IF(DP_Neil,DW_Neil / DP_Neil,"")</f>
        <v>0.5</v>
      </c>
      <c r="E4" s="16">
        <v>4</v>
      </c>
      <c r="F4" s="16">
        <v>2</v>
      </c>
      <c r="G4" s="42">
        <f>IF(SP_Neil,SW_Neil / SP_Neil,"")</f>
        <v>0.5</v>
      </c>
      <c r="H4" s="16">
        <f>DP_Neil + SP_Neil</f>
        <v>8</v>
      </c>
      <c r="I4" s="16">
        <f>DW_Neil + SW_Neil</f>
        <v>4</v>
      </c>
      <c r="J4" s="42">
        <f>IF(OP_Neil,OW_Neil / OP_Neil,"")</f>
        <v>0.5</v>
      </c>
    </row>
    <row r="5" spans="1:10" x14ac:dyDescent="0.25">
      <c r="A5" s="21" t="s">
        <v>75</v>
      </c>
      <c r="B5" s="16">
        <v>2</v>
      </c>
      <c r="C5" s="16"/>
      <c r="D5" s="42">
        <f>IF(DP_Brian,DW_Brian / DP_Brian,"")</f>
        <v>0</v>
      </c>
      <c r="E5" s="16">
        <v>3</v>
      </c>
      <c r="F5" s="16">
        <v>1</v>
      </c>
      <c r="G5" s="42">
        <f>IF(SP_Brian,SW_Brian / SP_Brian,"")</f>
        <v>0.33333333333333331</v>
      </c>
      <c r="H5" s="16">
        <f>DP_Brian + SP_Brian</f>
        <v>5</v>
      </c>
      <c r="I5" s="16">
        <f>DW_Brian + SW_Brian</f>
        <v>1</v>
      </c>
      <c r="J5" s="42">
        <f>IF(OP_Brian,OW_Brian / OP_Brian,"")</f>
        <v>0.2</v>
      </c>
    </row>
    <row r="6" spans="1:10" x14ac:dyDescent="0.25">
      <c r="A6" s="21" t="s">
        <v>64</v>
      </c>
      <c r="B6" s="16">
        <v>3</v>
      </c>
      <c r="C6" s="16">
        <v>1</v>
      </c>
      <c r="D6" s="42">
        <f>IF(DP_Dave,DW_Dave / DP_Dave,"")</f>
        <v>0.33333333333333331</v>
      </c>
      <c r="E6" s="16">
        <v>5</v>
      </c>
      <c r="F6" s="16">
        <v>4</v>
      </c>
      <c r="G6" s="42">
        <f>IF(SP_Dave,SW_Dave / SP_Dave,"")</f>
        <v>0.8</v>
      </c>
      <c r="H6" s="16">
        <f>DP_Dave + SP_Dave</f>
        <v>8</v>
      </c>
      <c r="I6" s="16">
        <f>DW_Dave + SW_Dave</f>
        <v>5</v>
      </c>
      <c r="J6" s="42">
        <f>IF(OP_Dave,OW_Dave / OP_Dave,"")</f>
        <v>0.625</v>
      </c>
    </row>
    <row r="7" spans="1:10" x14ac:dyDescent="0.25">
      <c r="A7" s="21" t="s">
        <v>68</v>
      </c>
      <c r="B7" s="16">
        <v>3</v>
      </c>
      <c r="C7" s="16">
        <v>1</v>
      </c>
      <c r="D7" s="42">
        <f>IF(DP_John,DW_John / DP_John,"")</f>
        <v>0.33333333333333331</v>
      </c>
      <c r="E7" s="16">
        <v>4</v>
      </c>
      <c r="F7" s="16">
        <v>3</v>
      </c>
      <c r="G7" s="42">
        <f>IF(SP_John,SW_John / SP_John,"")</f>
        <v>0.75</v>
      </c>
      <c r="H7" s="16">
        <f>DP_John + SP_John</f>
        <v>7</v>
      </c>
      <c r="I7" s="16">
        <f>DW_John + SW_John</f>
        <v>4</v>
      </c>
      <c r="J7" s="42">
        <f>IF(OP_John,OW_John / OP_John,"")</f>
        <v>0.5714285714285714</v>
      </c>
    </row>
    <row r="8" spans="1:10" x14ac:dyDescent="0.25">
      <c r="A8" s="21" t="s">
        <v>77</v>
      </c>
      <c r="B8" s="16">
        <v>1</v>
      </c>
      <c r="C8" s="16">
        <v>1</v>
      </c>
      <c r="D8" s="42">
        <f>IF(DP_Jim,DW_Jim / DP_Jim,"")</f>
        <v>1</v>
      </c>
      <c r="E8" s="16">
        <v>2</v>
      </c>
      <c r="F8" s="16"/>
      <c r="G8" s="42">
        <f>IF(SP_Jim,SW_Jim / SP_Jim,"")</f>
        <v>0</v>
      </c>
      <c r="H8" s="16">
        <f>DP_Jim + SP_Jim</f>
        <v>3</v>
      </c>
      <c r="I8" s="16">
        <f>DW_Jim + SW_Jim</f>
        <v>1</v>
      </c>
      <c r="J8" s="42">
        <f>IF(OP_Jim,OW_Jim / OP_Jim,"")</f>
        <v>0.33333333333333331</v>
      </c>
    </row>
    <row r="9" spans="1:10" x14ac:dyDescent="0.25">
      <c r="A9" s="21" t="s">
        <v>102</v>
      </c>
      <c r="B9" s="16">
        <v>4</v>
      </c>
      <c r="C9" s="16">
        <v>1</v>
      </c>
      <c r="D9" s="42">
        <f>IF(DP_Adam,DW_Adam / DP_Adam,"")</f>
        <v>0.25</v>
      </c>
      <c r="E9" s="16">
        <v>1</v>
      </c>
      <c r="F9" s="16"/>
      <c r="G9" s="42">
        <f>IF(SP_Adam,SW_Adam / SP_Adam,"")</f>
        <v>0</v>
      </c>
      <c r="H9" s="16">
        <f>DP_Adam + SP_Adam</f>
        <v>5</v>
      </c>
      <c r="I9" s="16">
        <f>DW_Adam + SW_Adam</f>
        <v>1</v>
      </c>
      <c r="J9" s="42">
        <f>IF(OP_Adam,OW_Adam / OP_Adam,"")</f>
        <v>0.2</v>
      </c>
    </row>
    <row r="10" spans="1:10" x14ac:dyDescent="0.25">
      <c r="A10" s="21" t="s">
        <v>79</v>
      </c>
      <c r="B10" s="16">
        <v>1</v>
      </c>
      <c r="C10" s="16">
        <v>1</v>
      </c>
      <c r="D10" s="42">
        <f>IF(DP_Scott,DW_Scott / DP_Scott,"")</f>
        <v>1</v>
      </c>
      <c r="E10" s="16">
        <v>1</v>
      </c>
      <c r="F10" s="16">
        <v>1</v>
      </c>
      <c r="G10" s="42">
        <f>IF(SP_Scott,SW_Scott / SP_Scott,"")</f>
        <v>1</v>
      </c>
      <c r="H10" s="16">
        <f>DP_Scott + SP_Scott</f>
        <v>2</v>
      </c>
      <c r="I10" s="16">
        <f>DW_Scott + SW_Scott</f>
        <v>2</v>
      </c>
      <c r="J10" s="42">
        <f>IF(OP_Scott,OW_Scott / OP_Scott,"")</f>
        <v>1</v>
      </c>
    </row>
    <row r="11" spans="1:10" x14ac:dyDescent="0.25">
      <c r="A11" s="21" t="s">
        <v>104</v>
      </c>
      <c r="B11" s="16">
        <v>3</v>
      </c>
      <c r="C11" s="16">
        <v>1</v>
      </c>
      <c r="D11" s="42">
        <f>IF(DP_Keith,DW_Keith / DP_Keith,"")</f>
        <v>0.33333333333333331</v>
      </c>
      <c r="E11" s="16">
        <v>2</v>
      </c>
      <c r="F11" s="16"/>
      <c r="G11" s="42">
        <f>IF(SP_Keith,SW_Keith / SP_Keith,"")</f>
        <v>0</v>
      </c>
      <c r="H11" s="16">
        <f>DP_Keith + SP_Keith</f>
        <v>5</v>
      </c>
      <c r="I11" s="16">
        <f>DW_Keith + SW_Keith</f>
        <v>1</v>
      </c>
      <c r="J11" s="42">
        <f>IF(OP_Keith,OW_Keith / OP_Keith,"")</f>
        <v>0.2</v>
      </c>
    </row>
    <row r="12" spans="1:10" x14ac:dyDescent="0.25">
      <c r="A12" s="21" t="s">
        <v>71</v>
      </c>
      <c r="B12" s="16">
        <v>3</v>
      </c>
      <c r="C12" s="16">
        <v>1</v>
      </c>
      <c r="D12" s="42">
        <f>IF(DP_Mark,DW_Mark / DP_Mark,"")</f>
        <v>0.33333333333333331</v>
      </c>
      <c r="E12" s="16">
        <v>3</v>
      </c>
      <c r="F12" s="16">
        <v>1</v>
      </c>
      <c r="G12" s="42">
        <f>IF(SP_Mark,SW_Mark / SP_Mark,"")</f>
        <v>0.33333333333333331</v>
      </c>
      <c r="H12" s="16">
        <f>DP_Mark + SP_Mark</f>
        <v>6</v>
      </c>
      <c r="I12" s="16">
        <f>DW_Mark + SW_Mark</f>
        <v>2</v>
      </c>
      <c r="J12" s="42">
        <f>IF(OP_Mark,OW_Mark / OP_Mark,"")</f>
        <v>0.33333333333333331</v>
      </c>
    </row>
    <row r="13" spans="1:10" x14ac:dyDescent="0.25">
      <c r="A13" s="21" t="s">
        <v>106</v>
      </c>
      <c r="B13" s="16">
        <v>2</v>
      </c>
      <c r="C13" s="16"/>
      <c r="D13" s="42">
        <f>IF(DP_DanC,DW_DanC / DP_DanC,"")</f>
        <v>0</v>
      </c>
      <c r="E13" s="16">
        <v>2</v>
      </c>
      <c r="F13" s="16">
        <v>2</v>
      </c>
      <c r="G13" s="42">
        <f>IF(SP_DanC,SW_DanC / SP_DanC,"")</f>
        <v>1</v>
      </c>
      <c r="H13" s="16">
        <f>DP_DanC + SP_DanC</f>
        <v>4</v>
      </c>
      <c r="I13" s="16">
        <f>DW_DanC + SW_DanC</f>
        <v>2</v>
      </c>
      <c r="J13" s="42">
        <f>IF(OP_DanC,OW_DanC / OP_DanC,"")</f>
        <v>0.5</v>
      </c>
    </row>
    <row r="14" spans="1:10" x14ac:dyDescent="0.25">
      <c r="A14" s="21" t="s">
        <v>65</v>
      </c>
      <c r="B14" s="16">
        <v>1</v>
      </c>
      <c r="C14" s="16"/>
      <c r="D14" s="42">
        <f>IF(DP_Les,DW_Les / DP_Les,"")</f>
        <v>0</v>
      </c>
      <c r="E14" s="16">
        <v>1</v>
      </c>
      <c r="F14" s="16"/>
      <c r="G14" s="42">
        <f>IF(SP_Les,SW_Les / SP_Les,"")</f>
        <v>0</v>
      </c>
      <c r="H14" s="16">
        <f>DP_Les + SP_Les</f>
        <v>2</v>
      </c>
      <c r="I14" s="16">
        <f>DW_Les + SW_Les</f>
        <v>0</v>
      </c>
      <c r="J14" s="42">
        <f>IF(OP_Les,OW_Les / OP_Les,"")</f>
        <v>0</v>
      </c>
    </row>
    <row r="15" spans="1:10" x14ac:dyDescent="0.25">
      <c r="A15" s="21" t="s">
        <v>109</v>
      </c>
      <c r="B15" s="16"/>
      <c r="C15" s="16"/>
      <c r="D15" s="42" t="str">
        <f>IF(DP_DanH,DW_DanH / DP_DanH,"")</f>
        <v/>
      </c>
      <c r="E15" s="16"/>
      <c r="F15" s="16"/>
      <c r="G15" s="42" t="str">
        <f>IF(SP_DanH,SW_DanH / SP_DanH,"")</f>
        <v/>
      </c>
      <c r="H15" s="16">
        <f>DP_DanH + SP_DanH</f>
        <v>0</v>
      </c>
      <c r="I15" s="16">
        <f>DW_DanH + SW_DanH</f>
        <v>0</v>
      </c>
      <c r="J15" s="42" t="str">
        <f>IF(OP_DanH,OW_DanH / OP_DanH,"")</f>
        <v/>
      </c>
    </row>
  </sheetData>
  <mergeCells count="3">
    <mergeCell ref="B1:D1"/>
    <mergeCell ref="E1:G1"/>
    <mergeCell ref="H1:J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ResetAll">
                <anchor moveWithCells="1" sizeWithCells="1">
                  <from>
                    <xdr:col>14</xdr:col>
                    <xdr:colOff>336430</xdr:colOff>
                    <xdr:row>0</xdr:row>
                    <xdr:rowOff>34506</xdr:rowOff>
                  </from>
                  <to>
                    <xdr:col>16</xdr:col>
                    <xdr:colOff>388189</xdr:colOff>
                    <xdr:row>1</xdr:row>
                    <xdr:rowOff>120770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4" name="Button 6">
              <controlPr defaultSize="0" print="0" autoFill="0" autoPict="0" macro="[0]!GoToNavigation">
                <anchor moveWithCells="1">
                  <from>
                    <xdr:col>10</xdr:col>
                    <xdr:colOff>379562</xdr:colOff>
                    <xdr:row>0</xdr:row>
                    <xdr:rowOff>60385</xdr:rowOff>
                  </from>
                  <to>
                    <xdr:col>14</xdr:col>
                    <xdr:colOff>103517</xdr:colOff>
                    <xdr:row>1</xdr:row>
                    <xdr:rowOff>138023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EC92D-CD5C-4DDB-AC5E-DA817C893754}">
  <sheetPr codeName="Ongoing"/>
  <dimension ref="A2:P94"/>
  <sheetViews>
    <sheetView topLeftCell="A64" workbookViewId="0">
      <selection activeCell="A79" sqref="A79:P94"/>
    </sheetView>
  </sheetViews>
  <sheetFormatPr defaultRowHeight="14.3" x14ac:dyDescent="0.25"/>
  <cols>
    <col min="1" max="3" width="6" customWidth="1"/>
    <col min="4" max="4" width="6" style="44" customWidth="1"/>
    <col min="5" max="6" width="6" customWidth="1"/>
    <col min="7" max="7" width="6" style="44" customWidth="1"/>
    <col min="8" max="9" width="6" customWidth="1"/>
    <col min="10" max="10" width="6" style="44" customWidth="1"/>
    <col min="11" max="15" width="6" customWidth="1"/>
  </cols>
  <sheetData>
    <row r="2" spans="1:16" ht="14.95" thickBot="1" x14ac:dyDescent="0.3"/>
    <row r="3" spans="1:16" ht="20.399999999999999" thickTop="1" thickBot="1" x14ac:dyDescent="0.3">
      <c r="A3" s="69" t="s">
        <v>83</v>
      </c>
      <c r="B3" s="70"/>
      <c r="C3" s="70"/>
      <c r="D3" s="71"/>
    </row>
    <row r="4" spans="1:16" ht="14.95" thickTop="1" x14ac:dyDescent="0.25">
      <c r="A4" s="15" t="s">
        <v>8</v>
      </c>
      <c r="B4" s="64" t="s">
        <v>23</v>
      </c>
      <c r="C4" s="65"/>
      <c r="D4" s="66"/>
      <c r="E4" s="67" t="s">
        <v>26</v>
      </c>
      <c r="F4" s="65"/>
      <c r="G4" s="66"/>
      <c r="H4" s="65" t="s">
        <v>27</v>
      </c>
      <c r="I4" s="65"/>
      <c r="J4" s="68"/>
    </row>
    <row r="5" spans="1:16" x14ac:dyDescent="0.25">
      <c r="A5" s="21" t="s">
        <v>52</v>
      </c>
      <c r="B5" s="16" t="s">
        <v>24</v>
      </c>
      <c r="C5" s="16" t="s">
        <v>25</v>
      </c>
      <c r="D5" s="42" t="s">
        <v>28</v>
      </c>
      <c r="E5" s="16" t="s">
        <v>24</v>
      </c>
      <c r="F5" s="16" t="s">
        <v>25</v>
      </c>
      <c r="G5" s="42" t="s">
        <v>28</v>
      </c>
      <c r="H5" s="16" t="s">
        <v>24</v>
      </c>
      <c r="I5" s="16" t="s">
        <v>25</v>
      </c>
      <c r="J5" s="42" t="s">
        <v>28</v>
      </c>
      <c r="L5" s="2" t="s">
        <v>8</v>
      </c>
      <c r="M5" s="6" t="s">
        <v>9</v>
      </c>
      <c r="N5" s="6" t="s">
        <v>10</v>
      </c>
      <c r="O5" s="6" t="s">
        <v>11</v>
      </c>
      <c r="P5" s="7" t="s">
        <v>12</v>
      </c>
    </row>
    <row r="6" spans="1:16" x14ac:dyDescent="0.25">
      <c r="A6" s="21" t="s">
        <v>64</v>
      </c>
      <c r="B6" s="16">
        <v>1</v>
      </c>
      <c r="C6" s="16"/>
      <c r="D6" s="42">
        <f>IF(DP_Dave,DW_Dave / DP_Dave,"")</f>
        <v>0.33333333333333331</v>
      </c>
      <c r="E6" s="16">
        <v>1</v>
      </c>
      <c r="F6" s="16">
        <v>1</v>
      </c>
      <c r="G6" s="42">
        <f>IF(SP_Dave,SW_Dave / SP_Dave,"")</f>
        <v>0.8</v>
      </c>
      <c r="H6" s="16">
        <f>DP_Dave + SP_Dave</f>
        <v>8</v>
      </c>
      <c r="I6" s="16">
        <f>DW_Dave + SW_Dave</f>
        <v>5</v>
      </c>
      <c r="J6" s="42">
        <f>IF(OP_Dave,OW_Dave / OP_Dave,"")</f>
        <v>0.625</v>
      </c>
      <c r="L6" s="2" t="s">
        <v>64</v>
      </c>
      <c r="M6" s="46"/>
      <c r="N6" s="46">
        <v>4</v>
      </c>
      <c r="O6" s="46"/>
      <c r="P6" s="46"/>
    </row>
    <row r="7" spans="1:16" x14ac:dyDescent="0.25">
      <c r="A7" s="21" t="s">
        <v>65</v>
      </c>
      <c r="B7" s="16"/>
      <c r="C7" s="16"/>
      <c r="D7" s="42">
        <f>IF(_xlfn.SINGLE(DP_Les),_xlfn.SINGLE(DW_Les) /_xlfn.SINGLE( DP_Les),"")</f>
        <v>0</v>
      </c>
      <c r="E7" s="16"/>
      <c r="F7" s="16"/>
      <c r="G7" s="42">
        <f>IF(_xlfn.SINGLE(SP_Les),_xlfn.SINGLE(SW_Les) /_xlfn.SINGLE( SP_Les),"")</f>
        <v>0</v>
      </c>
      <c r="H7" s="16">
        <f>_xlfn.SINGLE(DP_Les) +_xlfn.SINGLE( SP_Les)</f>
        <v>2</v>
      </c>
      <c r="I7" s="16">
        <f>_xlfn.SINGLE(DW_Les) +_xlfn.SINGLE( SW_Les)</f>
        <v>0</v>
      </c>
      <c r="J7" s="42">
        <f>IF(_xlfn.SINGLE(OP_Les),_xlfn.SINGLE(OW_Les) /_xlfn.SINGLE( OP_Les),"")</f>
        <v>0</v>
      </c>
      <c r="L7" s="2" t="s">
        <v>65</v>
      </c>
      <c r="M7" s="46"/>
      <c r="N7" s="46"/>
      <c r="O7" s="46"/>
      <c r="P7" s="46"/>
    </row>
    <row r="8" spans="1:16" x14ac:dyDescent="0.25">
      <c r="A8" s="21" t="s">
        <v>66</v>
      </c>
      <c r="B8" s="16">
        <v>1</v>
      </c>
      <c r="C8" s="16">
        <v>1</v>
      </c>
      <c r="D8" s="42">
        <f>IF(DP_Callum,DW_Callum / DP_Callum,"")</f>
        <v>0.33333333333333331</v>
      </c>
      <c r="E8" s="16">
        <v>1</v>
      </c>
      <c r="F8" s="16">
        <v>1</v>
      </c>
      <c r="G8" s="42">
        <f>IF(SP_Callum,SW_Callum / SP_Callum,"")</f>
        <v>1</v>
      </c>
      <c r="H8" s="16">
        <f>DP_Callum + SP_Callum</f>
        <v>5</v>
      </c>
      <c r="I8" s="16">
        <f>DW_Callum + SW_Callum</f>
        <v>3</v>
      </c>
      <c r="J8" s="42">
        <f>IF(OP_Callum,OW_Callum / OP_Callum,"")</f>
        <v>0.6</v>
      </c>
      <c r="L8" s="2" t="s">
        <v>66</v>
      </c>
      <c r="M8" s="46"/>
      <c r="N8" s="46"/>
      <c r="O8" s="46">
        <v>1</v>
      </c>
      <c r="P8" s="46"/>
    </row>
    <row r="9" spans="1:16" x14ac:dyDescent="0.25">
      <c r="A9" s="21" t="s">
        <v>68</v>
      </c>
      <c r="B9" s="16">
        <v>1</v>
      </c>
      <c r="C9" s="16">
        <v>1</v>
      </c>
      <c r="D9" s="42">
        <f>IF(DP_John,DW_John / DP_John,"")</f>
        <v>0.33333333333333331</v>
      </c>
      <c r="E9" s="16">
        <v>1</v>
      </c>
      <c r="F9" s="16">
        <v>1</v>
      </c>
      <c r="G9" s="42">
        <f>IF(SP_John,SW_John / SP_John,"")</f>
        <v>0.75</v>
      </c>
      <c r="H9" s="16">
        <f>DP_John + SP_John</f>
        <v>7</v>
      </c>
      <c r="I9" s="16">
        <f>DW_John + SW_John</f>
        <v>4</v>
      </c>
      <c r="J9" s="42">
        <f>IF(OP_John,OW_John / OP_John,"")</f>
        <v>0.5714285714285714</v>
      </c>
      <c r="L9" s="2" t="s">
        <v>68</v>
      </c>
      <c r="M9" s="46">
        <v>1</v>
      </c>
      <c r="N9" s="46">
        <v>3</v>
      </c>
      <c r="O9" s="46"/>
      <c r="P9" s="46"/>
    </row>
    <row r="10" spans="1:16" x14ac:dyDescent="0.25">
      <c r="A10" s="21" t="s">
        <v>70</v>
      </c>
      <c r="B10" s="16"/>
      <c r="C10" s="16"/>
      <c r="D10" s="42" t="e">
        <f>IF(DP_Dan,DW_Dan / DP_Dan,"")</f>
        <v>#NAME?</v>
      </c>
      <c r="E10" s="16"/>
      <c r="F10" s="16"/>
      <c r="G10" s="42" t="e">
        <f>IF(SP_Dan,SW_Dan / SP_Dan,"")</f>
        <v>#NAME?</v>
      </c>
      <c r="H10" s="16" t="e">
        <f>DP_Dan + SP_Dan</f>
        <v>#NAME?</v>
      </c>
      <c r="I10" s="16" t="e">
        <f>DW_Dan + SW_Dan</f>
        <v>#NAME?</v>
      </c>
      <c r="J10" s="42" t="e">
        <f>IF(OP_Dan,OW_Dan / OP_Dan,"")</f>
        <v>#NAME?</v>
      </c>
      <c r="L10" s="2" t="s">
        <v>70</v>
      </c>
      <c r="M10" s="46"/>
      <c r="N10" s="46"/>
      <c r="O10" s="46"/>
      <c r="P10" s="46"/>
    </row>
    <row r="11" spans="1:16" x14ac:dyDescent="0.25">
      <c r="A11" s="21" t="s">
        <v>71</v>
      </c>
      <c r="B11" s="16"/>
      <c r="C11" s="16"/>
      <c r="D11" s="42">
        <f>IF(DP_Mark,DW_Mark / DP_Mark,"")</f>
        <v>0.33333333333333331</v>
      </c>
      <c r="E11" s="16"/>
      <c r="F11" s="16"/>
      <c r="G11" s="42">
        <f>IF(SP_Mark,SW_Mark / SP_Mark,"")</f>
        <v>0.33333333333333331</v>
      </c>
      <c r="H11" s="16">
        <f>DP_Mark + SP_Mark</f>
        <v>6</v>
      </c>
      <c r="I11" s="16">
        <f>DW_Mark + SW_Mark</f>
        <v>2</v>
      </c>
      <c r="J11" s="42">
        <f>IF(OP_Mark,OW_Mark / OP_Mark,"")</f>
        <v>0.33333333333333331</v>
      </c>
      <c r="L11" s="2" t="s">
        <v>71</v>
      </c>
      <c r="M11" s="46"/>
      <c r="N11" s="46"/>
      <c r="O11" s="46"/>
      <c r="P11" s="46"/>
    </row>
    <row r="12" spans="1:16" x14ac:dyDescent="0.25">
      <c r="A12" s="21" t="s">
        <v>73</v>
      </c>
      <c r="B12" s="16">
        <v>1</v>
      </c>
      <c r="C12" s="16">
        <v>1</v>
      </c>
      <c r="D12" s="42">
        <f>IF(DP_Neil,DW_Neil / DP_Neil,"")</f>
        <v>0.5</v>
      </c>
      <c r="E12" s="16">
        <v>1</v>
      </c>
      <c r="F12" s="16"/>
      <c r="G12" s="42">
        <f>IF(SP_Neil,SW_Neil / SP_Neil,"")</f>
        <v>0.5</v>
      </c>
      <c r="H12" s="16">
        <f>DP_Neil + SP_Neil</f>
        <v>8</v>
      </c>
      <c r="I12" s="16">
        <f>DW_Neil + SW_Neil</f>
        <v>4</v>
      </c>
      <c r="J12" s="42">
        <f>IF(OP_Neil,OW_Neil / OP_Neil,"")</f>
        <v>0.5</v>
      </c>
      <c r="L12" s="2" t="s">
        <v>73</v>
      </c>
      <c r="M12" s="46"/>
      <c r="N12" s="46">
        <v>3</v>
      </c>
      <c r="O12" s="46"/>
      <c r="P12" s="46"/>
    </row>
    <row r="13" spans="1:16" x14ac:dyDescent="0.25">
      <c r="A13" s="21" t="s">
        <v>75</v>
      </c>
      <c r="B13" s="16">
        <v>1</v>
      </c>
      <c r="C13" s="16"/>
      <c r="D13" s="42">
        <f>IF(DP_Brian,DW_Brian / DP_Brian,"")</f>
        <v>0</v>
      </c>
      <c r="E13" s="16">
        <v>1</v>
      </c>
      <c r="F13" s="16">
        <v>1</v>
      </c>
      <c r="G13" s="42">
        <f>IF(SP_Brian,SW_Brian / SP_Brian,"")</f>
        <v>0.33333333333333331</v>
      </c>
      <c r="H13" s="16">
        <f>DP_Brian + SP_Brian</f>
        <v>5</v>
      </c>
      <c r="I13" s="16">
        <f>DW_Brian + SW_Brian</f>
        <v>1</v>
      </c>
      <c r="J13" s="42">
        <f>IF(OP_Brian,OW_Brian / OP_Brian,"")</f>
        <v>0.2</v>
      </c>
      <c r="L13" s="2" t="s">
        <v>75</v>
      </c>
      <c r="M13" s="46"/>
      <c r="N13" s="46"/>
      <c r="O13" s="46"/>
      <c r="P13" s="46"/>
    </row>
    <row r="14" spans="1:16" x14ac:dyDescent="0.25">
      <c r="A14" s="21" t="s">
        <v>77</v>
      </c>
      <c r="B14" s="16">
        <v>1</v>
      </c>
      <c r="C14" s="16">
        <v>1</v>
      </c>
      <c r="D14" s="42">
        <f>IF(DP_Jim,DW_Jim / DP_Jim,"")</f>
        <v>1</v>
      </c>
      <c r="E14" s="16">
        <v>1</v>
      </c>
      <c r="F14" s="16"/>
      <c r="G14" s="42">
        <f>IF(SP_Jim,SW_Jim / SP_Jim,"")</f>
        <v>0</v>
      </c>
      <c r="H14" s="16">
        <f>DP_Jim + SP_Jim</f>
        <v>3</v>
      </c>
      <c r="I14" s="16">
        <f>DW_Jim + SW_Jim</f>
        <v>1</v>
      </c>
      <c r="J14" s="42">
        <f>IF(OP_Jim,OW_Jim / OP_Jim,"")</f>
        <v>0.33333333333333331</v>
      </c>
      <c r="L14" s="2" t="s">
        <v>77</v>
      </c>
      <c r="M14" s="46">
        <v>1</v>
      </c>
      <c r="N14" s="46"/>
      <c r="O14" s="46"/>
      <c r="P14" s="46"/>
    </row>
    <row r="15" spans="1:16" x14ac:dyDescent="0.25">
      <c r="A15" s="21" t="s">
        <v>79</v>
      </c>
      <c r="B15" s="16"/>
      <c r="C15" s="16"/>
      <c r="D15" s="42">
        <f>IF(DP_Scott,DW_Scott / DP_Scott,"")</f>
        <v>1</v>
      </c>
      <c r="E15" s="16"/>
      <c r="F15" s="16"/>
      <c r="G15" s="42">
        <f>IF(SP_Scott,SW_Scott / SP_Scott,"")</f>
        <v>1</v>
      </c>
      <c r="H15" s="16">
        <f>DP_Scott + SP_Scott</f>
        <v>2</v>
      </c>
      <c r="I15" s="16">
        <f>DW_Scott + SW_Scott</f>
        <v>2</v>
      </c>
      <c r="J15" s="42">
        <f>IF(OP_Scott,OW_Scott / OP_Scott,"")</f>
        <v>1</v>
      </c>
      <c r="L15" s="2" t="s">
        <v>79</v>
      </c>
      <c r="M15" s="46"/>
      <c r="N15" s="46"/>
      <c r="O15" s="46"/>
      <c r="P15" s="46"/>
    </row>
    <row r="16" spans="1:16" ht="14.95" thickBot="1" x14ac:dyDescent="0.3">
      <c r="A16" s="2"/>
      <c r="B16" s="21"/>
      <c r="C16" s="21"/>
      <c r="D16" s="43"/>
      <c r="E16" s="21"/>
      <c r="F16" s="21"/>
      <c r="G16" s="43"/>
      <c r="H16" s="21"/>
      <c r="I16" s="21"/>
      <c r="J16" s="43"/>
      <c r="L16" s="2"/>
      <c r="M16" s="46"/>
      <c r="N16" s="46"/>
      <c r="O16" s="46"/>
      <c r="P16" s="46"/>
    </row>
    <row r="17" spans="1:16" ht="20.399999999999999" thickTop="1" thickBot="1" x14ac:dyDescent="0.3">
      <c r="A17" s="69" t="s">
        <v>83</v>
      </c>
      <c r="B17" s="70"/>
      <c r="C17" s="70"/>
      <c r="D17" s="71"/>
    </row>
    <row r="18" spans="1:16" ht="14.95" thickTop="1" x14ac:dyDescent="0.25">
      <c r="A18" s="15" t="s">
        <v>8</v>
      </c>
      <c r="B18" s="64" t="s">
        <v>23</v>
      </c>
      <c r="C18" s="65"/>
      <c r="D18" s="66"/>
      <c r="E18" s="67" t="s">
        <v>26</v>
      </c>
      <c r="F18" s="65"/>
      <c r="G18" s="66"/>
      <c r="H18" s="65" t="s">
        <v>27</v>
      </c>
      <c r="I18" s="65"/>
      <c r="J18" s="68"/>
    </row>
    <row r="19" spans="1:16" x14ac:dyDescent="0.25">
      <c r="A19" s="21" t="s">
        <v>52</v>
      </c>
      <c r="B19" s="16" t="s">
        <v>24</v>
      </c>
      <c r="C19" s="16" t="s">
        <v>25</v>
      </c>
      <c r="D19" s="42" t="s">
        <v>28</v>
      </c>
      <c r="E19" s="16" t="s">
        <v>24</v>
      </c>
      <c r="F19" s="16" t="s">
        <v>25</v>
      </c>
      <c r="G19" s="42" t="s">
        <v>28</v>
      </c>
      <c r="H19" s="16" t="s">
        <v>24</v>
      </c>
      <c r="I19" s="16" t="s">
        <v>25</v>
      </c>
      <c r="J19" s="42" t="s">
        <v>28</v>
      </c>
      <c r="L19" s="2" t="s">
        <v>8</v>
      </c>
      <c r="M19" s="6" t="s">
        <v>9</v>
      </c>
      <c r="N19" s="6" t="s">
        <v>10</v>
      </c>
      <c r="O19" s="6" t="s">
        <v>11</v>
      </c>
      <c r="P19" s="7" t="s">
        <v>12</v>
      </c>
    </row>
    <row r="20" spans="1:16" x14ac:dyDescent="0.25">
      <c r="A20" s="21" t="s">
        <v>66</v>
      </c>
      <c r="B20" s="16">
        <v>1</v>
      </c>
      <c r="C20" s="16">
        <v>1</v>
      </c>
      <c r="D20" s="42">
        <f>IF(DP_Callum,DW_Callum / DP_Callum,"")</f>
        <v>0.33333333333333331</v>
      </c>
      <c r="E20" s="16">
        <v>1</v>
      </c>
      <c r="F20" s="16">
        <v>1</v>
      </c>
      <c r="G20" s="42">
        <f>IF(SP_Callum,SW_Callum / SP_Callum,"")</f>
        <v>1</v>
      </c>
      <c r="H20" s="16">
        <f>DP_Callum + SP_Callum</f>
        <v>5</v>
      </c>
      <c r="I20" s="16">
        <f>DW_Callum + SW_Callum</f>
        <v>3</v>
      </c>
      <c r="J20" s="42">
        <f>IF(OP_Callum,OW_Callum / OP_Callum,"")</f>
        <v>0.6</v>
      </c>
      <c r="L20" s="2" t="s">
        <v>66</v>
      </c>
      <c r="M20" s="2"/>
      <c r="N20" s="2"/>
      <c r="O20" s="2">
        <v>1</v>
      </c>
      <c r="P20" s="2"/>
    </row>
    <row r="21" spans="1:16" x14ac:dyDescent="0.25">
      <c r="A21" s="21" t="s">
        <v>73</v>
      </c>
      <c r="B21" s="16">
        <v>1</v>
      </c>
      <c r="C21" s="16">
        <v>1</v>
      </c>
      <c r="D21" s="42">
        <f>IF(DP_Neil,DW_Neil / DP_Neil,"")</f>
        <v>0.5</v>
      </c>
      <c r="E21" s="16">
        <v>1</v>
      </c>
      <c r="F21" s="16"/>
      <c r="G21" s="42">
        <f>IF(SP_Neil,SW_Neil / SP_Neil,"")</f>
        <v>0.5</v>
      </c>
      <c r="H21" s="16">
        <f>DP_Neil + SP_Neil</f>
        <v>8</v>
      </c>
      <c r="I21" s="16">
        <f>DW_Neil + SW_Neil</f>
        <v>4</v>
      </c>
      <c r="J21" s="42">
        <f>IF(OP_Neil,OW_Neil / OP_Neil,"")</f>
        <v>0.5</v>
      </c>
      <c r="L21" s="2" t="s">
        <v>73</v>
      </c>
      <c r="M21" s="2"/>
      <c r="N21" s="2">
        <v>3</v>
      </c>
      <c r="O21" s="2"/>
      <c r="P21" s="2"/>
    </row>
    <row r="22" spans="1:16" x14ac:dyDescent="0.25">
      <c r="A22" s="21" t="s">
        <v>75</v>
      </c>
      <c r="B22" s="16">
        <v>1</v>
      </c>
      <c r="C22" s="16"/>
      <c r="D22" s="42">
        <f>IF(DP_Brian,DW_Brian / DP_Brian,"")</f>
        <v>0</v>
      </c>
      <c r="E22" s="16">
        <v>1</v>
      </c>
      <c r="F22" s="16">
        <v>1</v>
      </c>
      <c r="G22" s="42">
        <f>IF(SP_Brian,SW_Brian / SP_Brian,"")</f>
        <v>0.33333333333333331</v>
      </c>
      <c r="H22" s="16">
        <f>DP_Brian + SP_Brian</f>
        <v>5</v>
      </c>
      <c r="I22" s="16">
        <f>DW_Brian + SW_Brian</f>
        <v>1</v>
      </c>
      <c r="J22" s="42">
        <f>IF(OP_Brian,OW_Brian / OP_Brian,"")</f>
        <v>0.2</v>
      </c>
      <c r="L22" s="2" t="s">
        <v>75</v>
      </c>
      <c r="M22" s="2"/>
      <c r="N22" s="2"/>
      <c r="O22" s="2"/>
      <c r="P22" s="2"/>
    </row>
    <row r="23" spans="1:16" x14ac:dyDescent="0.25">
      <c r="A23" s="21" t="s">
        <v>64</v>
      </c>
      <c r="B23" s="16">
        <v>1</v>
      </c>
      <c r="C23" s="16"/>
      <c r="D23" s="42">
        <f>IF(DP_Dave,DW_Dave / DP_Dave,"")</f>
        <v>0.33333333333333331</v>
      </c>
      <c r="E23" s="16">
        <v>1</v>
      </c>
      <c r="F23" s="16">
        <v>1</v>
      </c>
      <c r="G23" s="42">
        <f>IF(SP_Dave,SW_Dave / SP_Dave,"")</f>
        <v>0.8</v>
      </c>
      <c r="H23" s="16">
        <f>DP_Dave + SP_Dave</f>
        <v>8</v>
      </c>
      <c r="I23" s="16">
        <f>DW_Dave + SW_Dave</f>
        <v>5</v>
      </c>
      <c r="J23" s="42">
        <f>IF(OP_Dave,OW_Dave / OP_Dave,"")</f>
        <v>0.625</v>
      </c>
      <c r="L23" s="2" t="s">
        <v>64</v>
      </c>
      <c r="M23" s="2"/>
      <c r="N23" s="2">
        <v>4</v>
      </c>
      <c r="O23" s="2"/>
      <c r="P23" s="2"/>
    </row>
    <row r="24" spans="1:16" x14ac:dyDescent="0.25">
      <c r="A24" s="21" t="s">
        <v>68</v>
      </c>
      <c r="B24" s="16">
        <v>1</v>
      </c>
      <c r="C24" s="16">
        <v>1</v>
      </c>
      <c r="D24" s="42">
        <f>IF(DP_John,DW_John / DP_John,"")</f>
        <v>0.33333333333333331</v>
      </c>
      <c r="E24" s="16">
        <v>1</v>
      </c>
      <c r="F24" s="16">
        <v>1</v>
      </c>
      <c r="G24" s="42">
        <f>IF(SP_John,SW_John / SP_John,"")</f>
        <v>0.75</v>
      </c>
      <c r="H24" s="16">
        <f>DP_John + SP_John</f>
        <v>7</v>
      </c>
      <c r="I24" s="16">
        <f>DW_John + SW_John</f>
        <v>4</v>
      </c>
      <c r="J24" s="42">
        <f>IF(OP_John,OW_John / OP_John,"")</f>
        <v>0.5714285714285714</v>
      </c>
      <c r="L24" s="2" t="s">
        <v>68</v>
      </c>
      <c r="M24" s="2">
        <v>1</v>
      </c>
      <c r="N24" s="2">
        <v>3</v>
      </c>
      <c r="O24" s="2"/>
      <c r="P24" s="2"/>
    </row>
    <row r="25" spans="1:16" x14ac:dyDescent="0.25">
      <c r="A25" s="21" t="s">
        <v>77</v>
      </c>
      <c r="B25" s="16">
        <v>1</v>
      </c>
      <c r="C25" s="16">
        <v>1</v>
      </c>
      <c r="D25" s="42">
        <f>IF(DP_Jim,DW_Jim / DP_Jim,"")</f>
        <v>1</v>
      </c>
      <c r="E25" s="16">
        <v>1</v>
      </c>
      <c r="F25" s="16"/>
      <c r="G25" s="42">
        <f>IF(SP_Jim,SW_Jim / SP_Jim,"")</f>
        <v>0</v>
      </c>
      <c r="H25" s="16">
        <f>DP_Jim + SP_Jim</f>
        <v>3</v>
      </c>
      <c r="I25" s="16">
        <f>DW_Jim + SW_Jim</f>
        <v>1</v>
      </c>
      <c r="J25" s="42">
        <f>IF(OP_Jim,OW_Jim / OP_Jim,"")</f>
        <v>0.33333333333333331</v>
      </c>
      <c r="L25" s="2" t="s">
        <v>77</v>
      </c>
      <c r="M25" s="2">
        <v>1</v>
      </c>
      <c r="N25" s="2"/>
      <c r="O25" s="2"/>
      <c r="P25" s="2"/>
    </row>
    <row r="26" spans="1:16" x14ac:dyDescent="0.25">
      <c r="A26" s="21" t="s">
        <v>102</v>
      </c>
      <c r="B26" s="16"/>
      <c r="C26" s="16"/>
      <c r="D26" s="42">
        <f>IF(DP_Adam,DW_Adam / DP_Adam,"")</f>
        <v>0.25</v>
      </c>
      <c r="E26" s="16"/>
      <c r="F26" s="16"/>
      <c r="G26" s="42">
        <f>IF(SP_Adam,SW_Adam / SP_Adam,"")</f>
        <v>0</v>
      </c>
      <c r="H26" s="16">
        <f>DP_Adam + SP_Adam</f>
        <v>5</v>
      </c>
      <c r="I26" s="16">
        <f>DW_Adam + SW_Adam</f>
        <v>1</v>
      </c>
      <c r="J26" s="42">
        <f>IF(OP_Adam,OW_Adam / OP_Adam,"")</f>
        <v>0.2</v>
      </c>
      <c r="L26" s="2" t="s">
        <v>102</v>
      </c>
      <c r="M26" s="2"/>
      <c r="N26" s="2"/>
      <c r="O26" s="2"/>
      <c r="P26" s="2"/>
    </row>
    <row r="27" spans="1:16" x14ac:dyDescent="0.25">
      <c r="A27" s="21" t="s">
        <v>79</v>
      </c>
      <c r="B27" s="16"/>
      <c r="C27" s="16"/>
      <c r="D27" s="42">
        <f>IF(DP_Scott,DW_Scott / DP_Scott,"")</f>
        <v>1</v>
      </c>
      <c r="E27" s="16"/>
      <c r="F27" s="16"/>
      <c r="G27" s="42">
        <f>IF(SP_Scott,SW_Scott / SP_Scott,"")</f>
        <v>1</v>
      </c>
      <c r="H27" s="16">
        <f>DP_Scott + SP_Scott</f>
        <v>2</v>
      </c>
      <c r="I27" s="16">
        <f>DW_Scott + SW_Scott</f>
        <v>2</v>
      </c>
      <c r="J27" s="42">
        <f>IF(OP_Scott,OW_Scott / OP_Scott,"")</f>
        <v>1</v>
      </c>
      <c r="L27" s="2" t="s">
        <v>79</v>
      </c>
      <c r="M27" s="2"/>
      <c r="N27" s="2"/>
      <c r="O27" s="2"/>
      <c r="P27" s="2"/>
    </row>
    <row r="28" spans="1:16" x14ac:dyDescent="0.25">
      <c r="A28" s="21" t="s">
        <v>104</v>
      </c>
      <c r="B28" s="16"/>
      <c r="C28" s="16"/>
      <c r="D28" s="42">
        <f>IF(DP_Keith,DW_Keith / DP_Keith,"")</f>
        <v>0.33333333333333331</v>
      </c>
      <c r="E28" s="16"/>
      <c r="F28" s="16"/>
      <c r="G28" s="42">
        <f>IF(SP_Keith,SW_Keith / SP_Keith,"")</f>
        <v>0</v>
      </c>
      <c r="H28" s="16">
        <f>DP_Keith + SP_Keith</f>
        <v>5</v>
      </c>
      <c r="I28" s="16">
        <f>DW_Keith + SW_Keith</f>
        <v>1</v>
      </c>
      <c r="J28" s="42">
        <f>IF(OP_Keith,OW_Keith / OP_Keith,"")</f>
        <v>0.2</v>
      </c>
      <c r="L28" s="2" t="s">
        <v>104</v>
      </c>
      <c r="M28" s="2"/>
      <c r="N28" s="2"/>
      <c r="O28" s="2"/>
      <c r="P28" s="2"/>
    </row>
    <row r="29" spans="1:16" x14ac:dyDescent="0.25">
      <c r="A29" s="21" t="s">
        <v>71</v>
      </c>
      <c r="B29" s="16"/>
      <c r="C29" s="16"/>
      <c r="D29" s="42">
        <f>IF(DP_Mark,DW_Mark / DP_Mark,"")</f>
        <v>0.33333333333333331</v>
      </c>
      <c r="E29" s="16"/>
      <c r="F29" s="16"/>
      <c r="G29" s="42">
        <f>IF(SP_Mark,SW_Mark / SP_Mark,"")</f>
        <v>0.33333333333333331</v>
      </c>
      <c r="H29" s="16">
        <f>DP_Mark + SP_Mark</f>
        <v>6</v>
      </c>
      <c r="I29" s="16">
        <f>DW_Mark + SW_Mark</f>
        <v>2</v>
      </c>
      <c r="J29" s="42">
        <f>IF(OP_Mark,OW_Mark / OP_Mark,"")</f>
        <v>0.33333333333333331</v>
      </c>
      <c r="L29" s="2" t="s">
        <v>71</v>
      </c>
      <c r="M29" s="2"/>
      <c r="N29" s="2"/>
      <c r="O29" s="2"/>
      <c r="P29" s="2"/>
    </row>
    <row r="30" spans="1:16" x14ac:dyDescent="0.25">
      <c r="A30" s="21" t="s">
        <v>106</v>
      </c>
      <c r="B30" s="16"/>
      <c r="C30" s="16"/>
      <c r="D30" s="42">
        <f>IF(DP_DanC,DW_DanC / DP_DanC,"")</f>
        <v>0</v>
      </c>
      <c r="E30" s="16"/>
      <c r="F30" s="16"/>
      <c r="G30" s="42">
        <f>IF(SP_DanC,SW_DanC / SP_DanC,"")</f>
        <v>1</v>
      </c>
      <c r="H30" s="16">
        <f>DP_DanC + SP_DanC</f>
        <v>4</v>
      </c>
      <c r="I30" s="16">
        <f>DW_DanC + SW_DanC</f>
        <v>2</v>
      </c>
      <c r="J30" s="42">
        <f>IF(OP_DanC,OW_DanC / OP_DanC,"")</f>
        <v>0.5</v>
      </c>
      <c r="L30" s="2" t="s">
        <v>106</v>
      </c>
      <c r="M30" s="2"/>
      <c r="N30" s="2"/>
      <c r="O30" s="2"/>
      <c r="P30" s="2"/>
    </row>
    <row r="31" spans="1:16" ht="14.95" thickBot="1" x14ac:dyDescent="0.3">
      <c r="L31" s="2"/>
      <c r="M31" s="46"/>
      <c r="N31" s="46"/>
      <c r="O31" s="46"/>
      <c r="P31" s="46"/>
    </row>
    <row r="32" spans="1:16" ht="20.399999999999999" thickTop="1" thickBot="1" x14ac:dyDescent="0.3">
      <c r="A32" s="69" t="s">
        <v>84</v>
      </c>
      <c r="B32" s="70"/>
      <c r="C32" s="70"/>
      <c r="D32" s="71"/>
    </row>
    <row r="33" spans="1:16" ht="14.95" thickTop="1" x14ac:dyDescent="0.25">
      <c r="A33" s="15" t="s">
        <v>8</v>
      </c>
      <c r="B33" s="64" t="s">
        <v>23</v>
      </c>
      <c r="C33" s="65"/>
      <c r="D33" s="66"/>
      <c r="E33" s="67" t="s">
        <v>26</v>
      </c>
      <c r="F33" s="65"/>
      <c r="G33" s="66"/>
      <c r="H33" s="65" t="s">
        <v>27</v>
      </c>
      <c r="I33" s="65"/>
      <c r="J33" s="68"/>
    </row>
    <row r="34" spans="1:16" x14ac:dyDescent="0.25">
      <c r="A34" s="21" t="s">
        <v>52</v>
      </c>
      <c r="B34" s="16" t="s">
        <v>24</v>
      </c>
      <c r="C34" s="16" t="s">
        <v>25</v>
      </c>
      <c r="D34" s="42" t="s">
        <v>28</v>
      </c>
      <c r="E34" s="16" t="s">
        <v>24</v>
      </c>
      <c r="F34" s="16" t="s">
        <v>25</v>
      </c>
      <c r="G34" s="42" t="s">
        <v>28</v>
      </c>
      <c r="H34" s="16" t="s">
        <v>24</v>
      </c>
      <c r="I34" s="16" t="s">
        <v>25</v>
      </c>
      <c r="J34" s="42" t="s">
        <v>28</v>
      </c>
      <c r="L34" s="2" t="s">
        <v>8</v>
      </c>
      <c r="M34" s="6" t="s">
        <v>9</v>
      </c>
      <c r="N34" s="6" t="s">
        <v>10</v>
      </c>
      <c r="O34" s="6" t="s">
        <v>11</v>
      </c>
      <c r="P34" s="7" t="s">
        <v>12</v>
      </c>
    </row>
    <row r="35" spans="1:16" x14ac:dyDescent="0.25">
      <c r="A35" s="21" t="s">
        <v>66</v>
      </c>
      <c r="B35" s="16">
        <v>2</v>
      </c>
      <c r="C35" s="16">
        <v>1</v>
      </c>
      <c r="D35" s="42">
        <f>IF(DP_Callum,DW_Callum / DP_Callum,"")</f>
        <v>0.33333333333333331</v>
      </c>
      <c r="E35" s="16">
        <v>2</v>
      </c>
      <c r="F35" s="16">
        <v>2</v>
      </c>
      <c r="G35" s="42">
        <f>IF(SP_Callum,SW_Callum / SP_Callum,"")</f>
        <v>1</v>
      </c>
      <c r="H35" s="16">
        <f>DP_Callum + SP_Callum</f>
        <v>5</v>
      </c>
      <c r="I35" s="16">
        <f>DW_Callum + SW_Callum</f>
        <v>3</v>
      </c>
      <c r="J35" s="42">
        <f>IF(OP_Callum,OW_Callum / OP_Callum,"")</f>
        <v>0.6</v>
      </c>
      <c r="L35" s="2" t="s">
        <v>66</v>
      </c>
      <c r="M35" s="2"/>
      <c r="N35" s="2">
        <v>3</v>
      </c>
      <c r="O35" s="2">
        <v>1</v>
      </c>
      <c r="P35" s="2"/>
    </row>
    <row r="36" spans="1:16" x14ac:dyDescent="0.25">
      <c r="A36" s="21" t="s">
        <v>73</v>
      </c>
      <c r="B36" s="16">
        <v>2</v>
      </c>
      <c r="C36" s="16">
        <v>2</v>
      </c>
      <c r="D36" s="42">
        <f>IF(DP_Neil,DW_Neil / DP_Neil,"")</f>
        <v>0.5</v>
      </c>
      <c r="E36" s="16">
        <v>2</v>
      </c>
      <c r="F36" s="16">
        <v>1</v>
      </c>
      <c r="G36" s="42">
        <f>IF(SP_Neil,SW_Neil / SP_Neil,"")</f>
        <v>0.5</v>
      </c>
      <c r="H36" s="16">
        <f>DP_Neil + SP_Neil</f>
        <v>8</v>
      </c>
      <c r="I36" s="16">
        <f>DW_Neil + SW_Neil</f>
        <v>4</v>
      </c>
      <c r="J36" s="42">
        <f>IF(OP_Neil,OW_Neil / OP_Neil,"")</f>
        <v>0.5</v>
      </c>
      <c r="L36" s="2" t="s">
        <v>73</v>
      </c>
      <c r="M36" s="2"/>
      <c r="N36" s="2">
        <v>4</v>
      </c>
      <c r="O36" s="2"/>
      <c r="P36" s="2"/>
    </row>
    <row r="37" spans="1:16" x14ac:dyDescent="0.25">
      <c r="A37" s="21" t="s">
        <v>75</v>
      </c>
      <c r="B37" s="16">
        <v>1</v>
      </c>
      <c r="C37" s="16"/>
      <c r="D37" s="42">
        <f>IF(DP_Brian,DW_Brian / DP_Brian,"")</f>
        <v>0</v>
      </c>
      <c r="E37" s="16">
        <v>2</v>
      </c>
      <c r="F37" s="16">
        <v>1</v>
      </c>
      <c r="G37" s="42">
        <f>IF(SP_Brian,SW_Brian / SP_Brian,"")</f>
        <v>0.33333333333333331</v>
      </c>
      <c r="H37" s="16">
        <f>DP_Brian + SP_Brian</f>
        <v>5</v>
      </c>
      <c r="I37" s="16">
        <f>DW_Brian + SW_Brian</f>
        <v>1</v>
      </c>
      <c r="J37" s="42">
        <f>IF(OP_Brian,OW_Brian / OP_Brian,"")</f>
        <v>0.2</v>
      </c>
      <c r="L37" s="2" t="s">
        <v>75</v>
      </c>
      <c r="M37" s="2"/>
      <c r="N37" s="2"/>
      <c r="O37" s="2"/>
      <c r="P37" s="2"/>
    </row>
    <row r="38" spans="1:16" x14ac:dyDescent="0.25">
      <c r="A38" s="21" t="s">
        <v>64</v>
      </c>
      <c r="B38" s="16">
        <v>2</v>
      </c>
      <c r="C38" s="16">
        <v>1</v>
      </c>
      <c r="D38" s="42">
        <f>IF(DP_Dave,DW_Dave / DP_Dave,"")</f>
        <v>0.33333333333333331</v>
      </c>
      <c r="E38" s="16">
        <v>2</v>
      </c>
      <c r="F38" s="16">
        <v>2</v>
      </c>
      <c r="G38" s="42">
        <f>IF(SP_Dave,SW_Dave / SP_Dave,"")</f>
        <v>0.8</v>
      </c>
      <c r="H38" s="16">
        <f>DP_Dave + SP_Dave</f>
        <v>8</v>
      </c>
      <c r="I38" s="16">
        <f>DW_Dave + SW_Dave</f>
        <v>5</v>
      </c>
      <c r="J38" s="42">
        <f>IF(OP_Dave,OW_Dave / OP_Dave,"")</f>
        <v>0.625</v>
      </c>
      <c r="L38" s="2" t="s">
        <v>64</v>
      </c>
      <c r="M38" s="2"/>
      <c r="N38" s="2">
        <v>7</v>
      </c>
      <c r="O38" s="2"/>
      <c r="P38" s="2"/>
    </row>
    <row r="39" spans="1:16" x14ac:dyDescent="0.25">
      <c r="A39" s="21" t="s">
        <v>68</v>
      </c>
      <c r="B39" s="16">
        <v>1</v>
      </c>
      <c r="C39" s="16">
        <v>1</v>
      </c>
      <c r="D39" s="42">
        <f>IF(DP_John,DW_John / DP_John,"")</f>
        <v>0.33333333333333331</v>
      </c>
      <c r="E39" s="16">
        <v>1</v>
      </c>
      <c r="F39" s="16">
        <v>1</v>
      </c>
      <c r="G39" s="42">
        <f>IF(SP_John,SW_John / SP_John,"")</f>
        <v>0.75</v>
      </c>
      <c r="H39" s="16">
        <f>DP_John + SP_John</f>
        <v>7</v>
      </c>
      <c r="I39" s="16">
        <f>DW_John + SW_John</f>
        <v>4</v>
      </c>
      <c r="J39" s="42">
        <f>IF(OP_John,OW_John / OP_John,"")</f>
        <v>0.5714285714285714</v>
      </c>
      <c r="L39" s="2" t="s">
        <v>68</v>
      </c>
      <c r="M39" s="2">
        <v>1</v>
      </c>
      <c r="N39" s="2">
        <v>3</v>
      </c>
      <c r="O39" s="2"/>
      <c r="P39" s="2"/>
    </row>
    <row r="40" spans="1:16" x14ac:dyDescent="0.25">
      <c r="A40" s="21" t="s">
        <v>77</v>
      </c>
      <c r="B40" s="16">
        <v>1</v>
      </c>
      <c r="C40" s="16">
        <v>1</v>
      </c>
      <c r="D40" s="42">
        <f>IF(DP_Jim,DW_Jim / DP_Jim,"")</f>
        <v>1</v>
      </c>
      <c r="E40" s="16">
        <v>1</v>
      </c>
      <c r="F40" s="16"/>
      <c r="G40" s="42">
        <f>IF(SP_Jim,SW_Jim / SP_Jim,"")</f>
        <v>0</v>
      </c>
      <c r="H40" s="16">
        <f>DP_Jim + SP_Jim</f>
        <v>3</v>
      </c>
      <c r="I40" s="16">
        <f>DW_Jim + SW_Jim</f>
        <v>1</v>
      </c>
      <c r="J40" s="42">
        <f>IF(OP_Jim,OW_Jim / OP_Jim,"")</f>
        <v>0.33333333333333331</v>
      </c>
      <c r="L40" s="2" t="s">
        <v>77</v>
      </c>
      <c r="M40" s="2">
        <v>1</v>
      </c>
      <c r="N40" s="2"/>
      <c r="O40" s="2"/>
      <c r="P40" s="2"/>
    </row>
    <row r="41" spans="1:16" x14ac:dyDescent="0.25">
      <c r="A41" s="21" t="s">
        <v>102</v>
      </c>
      <c r="B41" s="16">
        <v>1</v>
      </c>
      <c r="C41" s="16">
        <v>1</v>
      </c>
      <c r="D41" s="42">
        <f>IF(DP_Adam,DW_Adam / DP_Adam,"")</f>
        <v>0.25</v>
      </c>
      <c r="E41" s="16"/>
      <c r="F41" s="16"/>
      <c r="G41" s="42">
        <f>IF(SP_Adam,SW_Adam / SP_Adam,"")</f>
        <v>0</v>
      </c>
      <c r="H41" s="16">
        <f>DP_Adam + SP_Adam</f>
        <v>5</v>
      </c>
      <c r="I41" s="16">
        <f>DW_Adam + SW_Adam</f>
        <v>1</v>
      </c>
      <c r="J41" s="42">
        <f>IF(OP_Adam,OW_Adam / OP_Adam,"")</f>
        <v>0.2</v>
      </c>
      <c r="L41" s="2" t="s">
        <v>102</v>
      </c>
      <c r="M41" s="2"/>
      <c r="N41" s="2"/>
      <c r="O41" s="2"/>
      <c r="P41" s="2"/>
    </row>
    <row r="42" spans="1:16" x14ac:dyDescent="0.25">
      <c r="A42" s="21" t="s">
        <v>79</v>
      </c>
      <c r="B42" s="16">
        <v>1</v>
      </c>
      <c r="C42" s="16">
        <v>1</v>
      </c>
      <c r="D42" s="42">
        <f>IF(DP_Scott,DW_Scott / DP_Scott,"")</f>
        <v>1</v>
      </c>
      <c r="E42" s="16"/>
      <c r="F42" s="16"/>
      <c r="G42" s="42">
        <f>IF(SP_Scott,SW_Scott / SP_Scott,"")</f>
        <v>1</v>
      </c>
      <c r="H42" s="16">
        <f>DP_Scott + SP_Scott</f>
        <v>2</v>
      </c>
      <c r="I42" s="16">
        <f>DW_Scott + SW_Scott</f>
        <v>2</v>
      </c>
      <c r="J42" s="42">
        <f>IF(OP_Scott,OW_Scott / OP_Scott,"")</f>
        <v>1</v>
      </c>
      <c r="L42" s="2" t="s">
        <v>79</v>
      </c>
      <c r="M42" s="2"/>
      <c r="N42" s="2">
        <v>1</v>
      </c>
      <c r="O42" s="2"/>
      <c r="P42" s="2"/>
    </row>
    <row r="43" spans="1:16" x14ac:dyDescent="0.25">
      <c r="A43" s="21" t="s">
        <v>104</v>
      </c>
      <c r="B43" s="16">
        <v>1</v>
      </c>
      <c r="C43" s="16"/>
      <c r="D43" s="42">
        <f>IF(DP_Keith,DW_Keith / DP_Keith,"")</f>
        <v>0.33333333333333331</v>
      </c>
      <c r="E43" s="16"/>
      <c r="F43" s="16"/>
      <c r="G43" s="42">
        <f>IF(SP_Keith,SW_Keith / SP_Keith,"")</f>
        <v>0</v>
      </c>
      <c r="H43" s="16">
        <f>DP_Keith + SP_Keith</f>
        <v>5</v>
      </c>
      <c r="I43" s="16">
        <f>DW_Keith + SW_Keith</f>
        <v>1</v>
      </c>
      <c r="J43" s="42">
        <f>IF(OP_Keith,OW_Keith / OP_Keith,"")</f>
        <v>0.2</v>
      </c>
      <c r="L43" s="2" t="s">
        <v>104</v>
      </c>
      <c r="M43" s="2">
        <v>1</v>
      </c>
      <c r="N43" s="2"/>
      <c r="O43" s="2"/>
      <c r="P43" s="2"/>
    </row>
    <row r="44" spans="1:16" x14ac:dyDescent="0.25">
      <c r="A44" s="21" t="s">
        <v>71</v>
      </c>
      <c r="B44" s="16"/>
      <c r="C44" s="16"/>
      <c r="D44" s="42">
        <f>IF(DP_Mark,DW_Mark / DP_Mark,"")</f>
        <v>0.33333333333333331</v>
      </c>
      <c r="E44" s="16">
        <v>1</v>
      </c>
      <c r="F44" s="16">
        <v>1</v>
      </c>
      <c r="G44" s="42">
        <f>IF(SP_Mark,SW_Mark / SP_Mark,"")</f>
        <v>0.33333333333333331</v>
      </c>
      <c r="H44" s="16">
        <f>DP_Mark + SP_Mark</f>
        <v>6</v>
      </c>
      <c r="I44" s="16">
        <f>DW_Mark + SW_Mark</f>
        <v>2</v>
      </c>
      <c r="J44" s="42">
        <f>IF(OP_Mark,OW_Mark / OP_Mark,"")</f>
        <v>0.33333333333333331</v>
      </c>
      <c r="L44" s="2" t="s">
        <v>71</v>
      </c>
      <c r="M44" s="2"/>
      <c r="N44" s="2"/>
      <c r="O44" s="2"/>
      <c r="P44" s="2"/>
    </row>
    <row r="45" spans="1:16" x14ac:dyDescent="0.25">
      <c r="A45" s="21" t="s">
        <v>106</v>
      </c>
      <c r="B45" s="16"/>
      <c r="C45" s="16"/>
      <c r="D45" s="42">
        <f>IF(DP_DanC,DW_DanC / DP_DanC,"")</f>
        <v>0</v>
      </c>
      <c r="E45" s="16">
        <v>1</v>
      </c>
      <c r="F45" s="16">
        <v>1</v>
      </c>
      <c r="G45" s="42">
        <f>IF(SP_DanC,SW_DanC / SP_DanC,"")</f>
        <v>1</v>
      </c>
      <c r="H45" s="16">
        <f>DP_DanC + SP_DanC</f>
        <v>4</v>
      </c>
      <c r="I45" s="16">
        <f>DW_DanC + SW_DanC</f>
        <v>2</v>
      </c>
      <c r="J45" s="42">
        <f>IF(OP_DanC,OW_DanC / OP_DanC,"")</f>
        <v>0.5</v>
      </c>
      <c r="L45" s="2" t="s">
        <v>106</v>
      </c>
      <c r="M45" s="2">
        <v>1</v>
      </c>
      <c r="N45" s="2"/>
      <c r="O45" s="2"/>
      <c r="P45" s="2"/>
    </row>
    <row r="46" spans="1:16" ht="14.95" thickBot="1" x14ac:dyDescent="0.3">
      <c r="L46" s="2"/>
      <c r="M46" s="46"/>
      <c r="N46" s="46"/>
      <c r="O46" s="46"/>
      <c r="P46" s="46"/>
    </row>
    <row r="47" spans="1:16" ht="20.399999999999999" thickTop="1" thickBot="1" x14ac:dyDescent="0.3">
      <c r="A47" s="69" t="s">
        <v>85</v>
      </c>
      <c r="B47" s="70"/>
      <c r="C47" s="70"/>
      <c r="D47" s="71"/>
    </row>
    <row r="48" spans="1:16" ht="14.95" thickTop="1" x14ac:dyDescent="0.25">
      <c r="A48" s="15" t="s">
        <v>8</v>
      </c>
      <c r="B48" s="64" t="s">
        <v>23</v>
      </c>
      <c r="C48" s="65"/>
      <c r="D48" s="66"/>
      <c r="E48" s="67" t="s">
        <v>26</v>
      </c>
      <c r="F48" s="65"/>
      <c r="G48" s="66"/>
      <c r="H48" s="65" t="s">
        <v>27</v>
      </c>
      <c r="I48" s="65"/>
      <c r="J48" s="68"/>
    </row>
    <row r="49" spans="1:16" x14ac:dyDescent="0.25">
      <c r="A49" s="21" t="s">
        <v>52</v>
      </c>
      <c r="B49" s="16" t="s">
        <v>24</v>
      </c>
      <c r="C49" s="16" t="s">
        <v>25</v>
      </c>
      <c r="D49" s="42" t="s">
        <v>28</v>
      </c>
      <c r="E49" s="16" t="s">
        <v>24</v>
      </c>
      <c r="F49" s="16" t="s">
        <v>25</v>
      </c>
      <c r="G49" s="42" t="s">
        <v>28</v>
      </c>
      <c r="H49" s="16" t="s">
        <v>24</v>
      </c>
      <c r="I49" s="16" t="s">
        <v>25</v>
      </c>
      <c r="J49" s="42" t="s">
        <v>28</v>
      </c>
      <c r="L49" s="2" t="s">
        <v>8</v>
      </c>
      <c r="M49" s="6" t="s">
        <v>9</v>
      </c>
      <c r="N49" s="6" t="s">
        <v>10</v>
      </c>
      <c r="O49" s="6" t="s">
        <v>11</v>
      </c>
      <c r="P49" s="7" t="s">
        <v>12</v>
      </c>
    </row>
    <row r="50" spans="1:16" x14ac:dyDescent="0.25">
      <c r="A50" s="21" t="s">
        <v>66</v>
      </c>
      <c r="B50" s="16">
        <v>3</v>
      </c>
      <c r="C50" s="16">
        <v>1</v>
      </c>
      <c r="D50" s="42">
        <f>IF(DP_Callum,DW_Callum / DP_Callum,"")</f>
        <v>0.33333333333333331</v>
      </c>
      <c r="E50" s="16">
        <v>2</v>
      </c>
      <c r="F50" s="16">
        <v>2</v>
      </c>
      <c r="G50" s="42">
        <f>IF(SP_Callum,SW_Callum / SP_Callum,"")</f>
        <v>1</v>
      </c>
      <c r="H50" s="16">
        <f>DP_Callum + SP_Callum</f>
        <v>5</v>
      </c>
      <c r="I50" s="16">
        <f>DW_Callum + SW_Callum</f>
        <v>3</v>
      </c>
      <c r="J50" s="42">
        <f>IF(OP_Callum,OW_Callum / OP_Callum,"")</f>
        <v>0.6</v>
      </c>
      <c r="L50" s="2" t="s">
        <v>66</v>
      </c>
      <c r="M50" s="2"/>
      <c r="N50" s="2">
        <v>3</v>
      </c>
      <c r="O50" s="2">
        <v>1</v>
      </c>
      <c r="P50" s="2"/>
    </row>
    <row r="51" spans="1:16" x14ac:dyDescent="0.25">
      <c r="A51" s="21" t="s">
        <v>73</v>
      </c>
      <c r="B51" s="16">
        <v>2</v>
      </c>
      <c r="C51" s="16">
        <v>2</v>
      </c>
      <c r="D51" s="42">
        <f>IF(DP_Neil,DW_Neil / DP_Neil,"")</f>
        <v>0.5</v>
      </c>
      <c r="E51" s="16">
        <v>3</v>
      </c>
      <c r="F51" s="16">
        <v>1</v>
      </c>
      <c r="G51" s="42">
        <f>IF(SP_Neil,SW_Neil / SP_Neil,"")</f>
        <v>0.5</v>
      </c>
      <c r="H51" s="16">
        <f>DP_Neil + SP_Neil</f>
        <v>8</v>
      </c>
      <c r="I51" s="16">
        <f>DW_Neil + SW_Neil</f>
        <v>4</v>
      </c>
      <c r="J51" s="42">
        <f>IF(OP_Neil,OW_Neil / OP_Neil,"")</f>
        <v>0.5</v>
      </c>
      <c r="L51" s="2" t="s">
        <v>73</v>
      </c>
      <c r="M51" s="2"/>
      <c r="N51" s="2">
        <v>4</v>
      </c>
      <c r="O51" s="2"/>
      <c r="P51" s="2"/>
    </row>
    <row r="52" spans="1:16" x14ac:dyDescent="0.25">
      <c r="A52" s="21" t="s">
        <v>75</v>
      </c>
      <c r="B52" s="16">
        <v>1</v>
      </c>
      <c r="C52" s="16"/>
      <c r="D52" s="42">
        <f>IF(DP_Brian,DW_Brian / DP_Brian,"")</f>
        <v>0</v>
      </c>
      <c r="E52" s="16">
        <v>3</v>
      </c>
      <c r="F52" s="16">
        <v>1</v>
      </c>
      <c r="G52" s="42">
        <f>IF(SP_Brian,SW_Brian / SP_Brian,"")</f>
        <v>0.33333333333333331</v>
      </c>
      <c r="H52" s="16">
        <f>DP_Brian + SP_Brian</f>
        <v>5</v>
      </c>
      <c r="I52" s="16">
        <f>DW_Brian + SW_Brian</f>
        <v>1</v>
      </c>
      <c r="J52" s="42">
        <f>IF(OP_Brian,OW_Brian / OP_Brian,"")</f>
        <v>0.2</v>
      </c>
      <c r="L52" s="2" t="s">
        <v>75</v>
      </c>
      <c r="M52" s="2"/>
      <c r="N52" s="2"/>
      <c r="O52" s="2"/>
      <c r="P52" s="2"/>
    </row>
    <row r="53" spans="1:16" x14ac:dyDescent="0.25">
      <c r="A53" s="21" t="s">
        <v>64</v>
      </c>
      <c r="B53" s="16">
        <v>2</v>
      </c>
      <c r="C53" s="16">
        <v>1</v>
      </c>
      <c r="D53" s="42">
        <f>IF(DP_Dave,DW_Dave / DP_Dave,"")</f>
        <v>0.33333333333333331</v>
      </c>
      <c r="E53" s="16">
        <v>3</v>
      </c>
      <c r="F53" s="16">
        <v>3</v>
      </c>
      <c r="G53" s="42">
        <f>IF(SP_Dave,SW_Dave / SP_Dave,"")</f>
        <v>0.8</v>
      </c>
      <c r="H53" s="16">
        <f>DP_Dave + SP_Dave</f>
        <v>8</v>
      </c>
      <c r="I53" s="16">
        <f>DW_Dave + SW_Dave</f>
        <v>5</v>
      </c>
      <c r="J53" s="42">
        <f>IF(OP_Dave,OW_Dave / OP_Dave,"")</f>
        <v>0.625</v>
      </c>
      <c r="L53" s="2" t="s">
        <v>64</v>
      </c>
      <c r="M53" s="2"/>
      <c r="N53" s="2">
        <v>7</v>
      </c>
      <c r="O53" s="2"/>
      <c r="P53" s="2"/>
    </row>
    <row r="54" spans="1:16" x14ac:dyDescent="0.25">
      <c r="A54" s="21" t="s">
        <v>68</v>
      </c>
      <c r="B54" s="16">
        <v>1</v>
      </c>
      <c r="C54" s="16">
        <v>1</v>
      </c>
      <c r="D54" s="42">
        <f>IF(DP_John,DW_John / DP_John,"")</f>
        <v>0.33333333333333331</v>
      </c>
      <c r="E54" s="16">
        <v>2</v>
      </c>
      <c r="F54" s="16">
        <v>2</v>
      </c>
      <c r="G54" s="42">
        <f>IF(SP_John,SW_John / SP_John,"")</f>
        <v>0.75</v>
      </c>
      <c r="H54" s="16">
        <f>DP_John + SP_John</f>
        <v>7</v>
      </c>
      <c r="I54" s="16">
        <f>DW_John + SW_John</f>
        <v>4</v>
      </c>
      <c r="J54" s="42">
        <f>IF(OP_John,OW_John / OP_John,"")</f>
        <v>0.5714285714285714</v>
      </c>
      <c r="L54" s="2" t="s">
        <v>68</v>
      </c>
      <c r="M54" s="2">
        <v>1</v>
      </c>
      <c r="N54" s="2">
        <v>5</v>
      </c>
      <c r="O54" s="2"/>
      <c r="P54" s="2"/>
    </row>
    <row r="55" spans="1:16" x14ac:dyDescent="0.25">
      <c r="A55" s="21" t="s">
        <v>77</v>
      </c>
      <c r="B55" s="16">
        <v>1</v>
      </c>
      <c r="C55" s="16">
        <v>1</v>
      </c>
      <c r="D55" s="42">
        <f>IF(DP_Jim,DW_Jim / DP_Jim,"")</f>
        <v>1</v>
      </c>
      <c r="E55" s="16">
        <v>2</v>
      </c>
      <c r="F55" s="16"/>
      <c r="G55" s="42">
        <f>IF(SP_Jim,SW_Jim / SP_Jim,"")</f>
        <v>0</v>
      </c>
      <c r="H55" s="16">
        <f>DP_Jim + SP_Jim</f>
        <v>3</v>
      </c>
      <c r="I55" s="16">
        <f>DW_Jim + SW_Jim</f>
        <v>1</v>
      </c>
      <c r="J55" s="42">
        <f>IF(OP_Jim,OW_Jim / OP_Jim,"")</f>
        <v>0.33333333333333331</v>
      </c>
      <c r="L55" s="2" t="s">
        <v>77</v>
      </c>
      <c r="M55" s="2">
        <v>3</v>
      </c>
      <c r="N55" s="2">
        <v>1</v>
      </c>
      <c r="O55" s="2"/>
      <c r="P55" s="2"/>
    </row>
    <row r="56" spans="1:16" x14ac:dyDescent="0.25">
      <c r="A56" s="21" t="s">
        <v>102</v>
      </c>
      <c r="B56" s="16">
        <v>2</v>
      </c>
      <c r="C56" s="16">
        <v>1</v>
      </c>
      <c r="D56" s="42">
        <f>IF(DP_Adam,DW_Adam / DP_Adam,"")</f>
        <v>0.25</v>
      </c>
      <c r="E56" s="16"/>
      <c r="F56" s="16"/>
      <c r="G56" s="42">
        <f>IF(SP_Adam,SW_Adam / SP_Adam,"")</f>
        <v>0</v>
      </c>
      <c r="H56" s="16">
        <f>DP_Adam + SP_Adam</f>
        <v>5</v>
      </c>
      <c r="I56" s="16">
        <f>DW_Adam + SW_Adam</f>
        <v>1</v>
      </c>
      <c r="J56" s="42">
        <f>IF(OP_Adam,OW_Adam / OP_Adam,"")</f>
        <v>0.2</v>
      </c>
      <c r="L56" s="2" t="s">
        <v>102</v>
      </c>
      <c r="M56" s="2">
        <v>2</v>
      </c>
      <c r="N56" s="2"/>
      <c r="O56" s="2"/>
      <c r="P56" s="2"/>
    </row>
    <row r="57" spans="1:16" x14ac:dyDescent="0.25">
      <c r="A57" s="21" t="s">
        <v>79</v>
      </c>
      <c r="B57" s="16">
        <v>1</v>
      </c>
      <c r="C57" s="16">
        <v>1</v>
      </c>
      <c r="D57" s="42">
        <f>IF(DP_Scott,DW_Scott / DP_Scott,"")</f>
        <v>1</v>
      </c>
      <c r="E57" s="16"/>
      <c r="F57" s="16"/>
      <c r="G57" s="42">
        <f>IF(SP_Scott,SW_Scott / SP_Scott,"")</f>
        <v>1</v>
      </c>
      <c r="H57" s="16">
        <f>DP_Scott + SP_Scott</f>
        <v>2</v>
      </c>
      <c r="I57" s="16">
        <f>DW_Scott + SW_Scott</f>
        <v>2</v>
      </c>
      <c r="J57" s="42">
        <f>IF(OP_Scott,OW_Scott / OP_Scott,"")</f>
        <v>1</v>
      </c>
      <c r="L57" s="2" t="s">
        <v>79</v>
      </c>
      <c r="M57" s="2"/>
      <c r="N57" s="2">
        <v>1</v>
      </c>
      <c r="O57" s="2"/>
      <c r="P57" s="2"/>
    </row>
    <row r="58" spans="1:16" x14ac:dyDescent="0.25">
      <c r="A58" s="21" t="s">
        <v>104</v>
      </c>
      <c r="B58" s="16">
        <v>2</v>
      </c>
      <c r="C58" s="16">
        <v>1</v>
      </c>
      <c r="D58" s="42">
        <f>IF(DP_Keith,DW_Keith / DP_Keith,"")</f>
        <v>0.33333333333333331</v>
      </c>
      <c r="E58" s="16"/>
      <c r="F58" s="16"/>
      <c r="G58" s="42">
        <f>IF(SP_Keith,SW_Keith / SP_Keith,"")</f>
        <v>0</v>
      </c>
      <c r="H58" s="16">
        <f>DP_Keith + SP_Keith</f>
        <v>5</v>
      </c>
      <c r="I58" s="16">
        <f>DW_Keith + SW_Keith</f>
        <v>1</v>
      </c>
      <c r="J58" s="42">
        <f>IF(OP_Keith,OW_Keith / OP_Keith,"")</f>
        <v>0.2</v>
      </c>
      <c r="L58" s="2" t="s">
        <v>104</v>
      </c>
      <c r="M58" s="2">
        <v>2</v>
      </c>
      <c r="N58" s="2"/>
      <c r="O58" s="2"/>
      <c r="P58" s="2"/>
    </row>
    <row r="59" spans="1:16" x14ac:dyDescent="0.25">
      <c r="A59" s="21" t="s">
        <v>71</v>
      </c>
      <c r="B59" s="16">
        <v>1</v>
      </c>
      <c r="C59" s="16">
        <v>1</v>
      </c>
      <c r="D59" s="42">
        <f>IF(DP_Mark,DW_Mark / DP_Mark,"")</f>
        <v>0.33333333333333331</v>
      </c>
      <c r="E59" s="16">
        <v>2</v>
      </c>
      <c r="F59" s="16">
        <v>1</v>
      </c>
      <c r="G59" s="42">
        <f>IF(SP_Mark,SW_Mark / SP_Mark,"")</f>
        <v>0.33333333333333331</v>
      </c>
      <c r="H59" s="16">
        <f>DP_Mark + SP_Mark</f>
        <v>6</v>
      </c>
      <c r="I59" s="16">
        <f>DW_Mark + SW_Mark</f>
        <v>2</v>
      </c>
      <c r="J59" s="42">
        <f>IF(OP_Mark,OW_Mark / OP_Mark,"")</f>
        <v>0.33333333333333331</v>
      </c>
      <c r="L59" s="2" t="s">
        <v>71</v>
      </c>
      <c r="M59" s="2">
        <v>3</v>
      </c>
      <c r="N59" s="2">
        <v>4</v>
      </c>
      <c r="O59" s="2">
        <v>1</v>
      </c>
      <c r="P59" s="2"/>
    </row>
    <row r="60" spans="1:16" x14ac:dyDescent="0.25">
      <c r="A60" s="21" t="s">
        <v>106</v>
      </c>
      <c r="B60" s="16">
        <v>1</v>
      </c>
      <c r="C60" s="16"/>
      <c r="D60" s="42">
        <f>IF(DP_DanC,DW_DanC / DP_DanC,"")</f>
        <v>0</v>
      </c>
      <c r="E60" s="16">
        <v>1</v>
      </c>
      <c r="F60" s="16">
        <v>1</v>
      </c>
      <c r="G60" s="42">
        <f>IF(SP_DanC,SW_DanC / SP_DanC,"")</f>
        <v>1</v>
      </c>
      <c r="H60" s="16">
        <f>DP_DanC + SP_DanC</f>
        <v>4</v>
      </c>
      <c r="I60" s="16">
        <f>DW_DanC + SW_DanC</f>
        <v>2</v>
      </c>
      <c r="J60" s="42">
        <f>IF(OP_DanC,OW_DanC / OP_DanC,"")</f>
        <v>0.5</v>
      </c>
      <c r="L60" s="2" t="s">
        <v>106</v>
      </c>
      <c r="M60" s="2">
        <v>2</v>
      </c>
      <c r="N60" s="2"/>
      <c r="O60" s="2"/>
      <c r="P60" s="2"/>
    </row>
    <row r="61" spans="1:16" x14ac:dyDescent="0.25">
      <c r="A61" s="59" t="s">
        <v>65</v>
      </c>
      <c r="B61" s="60">
        <v>1</v>
      </c>
      <c r="C61" s="60"/>
      <c r="D61" s="61">
        <f>IF(DP_Les,DW_Les / DP_Les,"")</f>
        <v>0</v>
      </c>
      <c r="E61" s="60"/>
      <c r="F61" s="60"/>
      <c r="G61" s="61">
        <f>IF(SP_Les,SW_Les / SP_Les,"")</f>
        <v>0</v>
      </c>
      <c r="H61" s="60">
        <f>DP_Les + SP_Les</f>
        <v>2</v>
      </c>
      <c r="I61" s="60">
        <f>DW_Les + SW_Les</f>
        <v>0</v>
      </c>
      <c r="J61" s="61">
        <f>IF(OP_Les,OW_Les / OP_Les,"")</f>
        <v>0</v>
      </c>
      <c r="L61" t="s">
        <v>65</v>
      </c>
    </row>
    <row r="62" spans="1:16" ht="14.95" thickBot="1" x14ac:dyDescent="0.3">
      <c r="A62" s="59" t="s">
        <v>109</v>
      </c>
      <c r="B62" s="60"/>
      <c r="C62" s="60"/>
      <c r="D62" s="61" t="str">
        <f>IF(DP_DanH,DW_DanH / DP_DanH,"")</f>
        <v/>
      </c>
      <c r="E62" s="60"/>
      <c r="F62" s="60"/>
      <c r="G62" s="61" t="str">
        <f>IF(SP_DanH,SW_DanH / SP_DanH,"")</f>
        <v/>
      </c>
      <c r="H62" s="60">
        <f>DP_DanH + SP_DanH</f>
        <v>0</v>
      </c>
      <c r="I62" s="60">
        <f>DW_DanH + SW_DanH</f>
        <v>0</v>
      </c>
      <c r="J62" s="61" t="str">
        <f>IF(OP_DanH,OW_DanH / OP_DanH,"")</f>
        <v/>
      </c>
      <c r="L62" t="s">
        <v>109</v>
      </c>
    </row>
    <row r="63" spans="1:16" ht="20.399999999999999" thickTop="1" thickBot="1" x14ac:dyDescent="0.3">
      <c r="A63" s="69" t="s">
        <v>110</v>
      </c>
      <c r="B63" s="70"/>
      <c r="C63" s="70"/>
      <c r="D63" s="71"/>
    </row>
    <row r="64" spans="1:16" ht="14.95" thickTop="1" x14ac:dyDescent="0.25">
      <c r="A64" s="15" t="s">
        <v>8</v>
      </c>
      <c r="B64" s="64" t="s">
        <v>23</v>
      </c>
      <c r="C64" s="65"/>
      <c r="D64" s="66"/>
      <c r="E64" s="67" t="s">
        <v>26</v>
      </c>
      <c r="F64" s="65"/>
      <c r="G64" s="66"/>
      <c r="H64" s="65" t="s">
        <v>27</v>
      </c>
      <c r="I64" s="65"/>
      <c r="J64" s="68"/>
    </row>
    <row r="65" spans="1:16" x14ac:dyDescent="0.25">
      <c r="A65" s="21" t="s">
        <v>52</v>
      </c>
      <c r="B65" s="16" t="s">
        <v>24</v>
      </c>
      <c r="C65" s="16" t="s">
        <v>25</v>
      </c>
      <c r="D65" s="42" t="s">
        <v>28</v>
      </c>
      <c r="E65" s="16" t="s">
        <v>24</v>
      </c>
      <c r="F65" s="16" t="s">
        <v>25</v>
      </c>
      <c r="G65" s="42" t="s">
        <v>28</v>
      </c>
      <c r="H65" s="16" t="s">
        <v>24</v>
      </c>
      <c r="I65" s="16" t="s">
        <v>25</v>
      </c>
      <c r="J65" s="42" t="s">
        <v>28</v>
      </c>
      <c r="L65" s="2" t="s">
        <v>8</v>
      </c>
      <c r="M65" s="6" t="s">
        <v>9</v>
      </c>
      <c r="N65" s="6" t="s">
        <v>10</v>
      </c>
      <c r="O65" s="6" t="s">
        <v>11</v>
      </c>
      <c r="P65" s="7" t="s">
        <v>12</v>
      </c>
    </row>
    <row r="66" spans="1:16" x14ac:dyDescent="0.25">
      <c r="A66" s="21" t="s">
        <v>66</v>
      </c>
      <c r="B66" s="16">
        <v>3</v>
      </c>
      <c r="C66" s="16">
        <v>1</v>
      </c>
      <c r="D66" s="42">
        <f>IF(DP_Callum,DW_Callum / DP_Callum,"")</f>
        <v>0.33333333333333331</v>
      </c>
      <c r="E66" s="16">
        <v>2</v>
      </c>
      <c r="F66" s="16">
        <v>2</v>
      </c>
      <c r="G66" s="42">
        <f>IF(SP_Callum,SW_Callum / SP_Callum,"")</f>
        <v>1</v>
      </c>
      <c r="H66" s="16">
        <f>DP_Callum + SP_Callum</f>
        <v>5</v>
      </c>
      <c r="I66" s="16">
        <f>DW_Callum + SW_Callum</f>
        <v>3</v>
      </c>
      <c r="J66" s="42">
        <f>IF(OP_Callum,OW_Callum / OP_Callum,"")</f>
        <v>0.6</v>
      </c>
      <c r="L66" s="2" t="s">
        <v>66</v>
      </c>
      <c r="M66" s="2"/>
      <c r="N66" s="2">
        <v>3</v>
      </c>
      <c r="O66" s="2">
        <v>1</v>
      </c>
      <c r="P66" s="2"/>
    </row>
    <row r="67" spans="1:16" x14ac:dyDescent="0.25">
      <c r="A67" s="21" t="s">
        <v>73</v>
      </c>
      <c r="B67" s="16">
        <v>3</v>
      </c>
      <c r="C67" s="16">
        <v>2</v>
      </c>
      <c r="D67" s="42">
        <f>IF(DP_Neil,DW_Neil / DP_Neil,"")</f>
        <v>0.5</v>
      </c>
      <c r="E67" s="16">
        <v>3</v>
      </c>
      <c r="F67" s="16">
        <v>1</v>
      </c>
      <c r="G67" s="42">
        <f>IF(SP_Neil,SW_Neil / SP_Neil,"")</f>
        <v>0.5</v>
      </c>
      <c r="H67" s="16">
        <f>DP_Neil + SP_Neil</f>
        <v>8</v>
      </c>
      <c r="I67" s="16">
        <f>DW_Neil + SW_Neil</f>
        <v>4</v>
      </c>
      <c r="J67" s="42">
        <f>IF(OP_Neil,OW_Neil / OP_Neil,"")</f>
        <v>0.5</v>
      </c>
      <c r="L67" s="2" t="s">
        <v>73</v>
      </c>
      <c r="M67" s="2"/>
      <c r="N67" s="2">
        <v>4</v>
      </c>
      <c r="O67" s="2"/>
      <c r="P67" s="2"/>
    </row>
    <row r="68" spans="1:16" x14ac:dyDescent="0.25">
      <c r="A68" s="21" t="s">
        <v>75</v>
      </c>
      <c r="B68" s="16">
        <v>2</v>
      </c>
      <c r="C68" s="16"/>
      <c r="D68" s="42">
        <f>IF(DP_Brian,DW_Brian / DP_Brian,"")</f>
        <v>0</v>
      </c>
      <c r="E68" s="16">
        <v>3</v>
      </c>
      <c r="F68" s="16">
        <v>1</v>
      </c>
      <c r="G68" s="42">
        <f>IF(SP_Brian,SW_Brian / SP_Brian,"")</f>
        <v>0.33333333333333331</v>
      </c>
      <c r="H68" s="16">
        <f>DP_Brian + SP_Brian</f>
        <v>5</v>
      </c>
      <c r="I68" s="16">
        <f>DW_Brian + SW_Brian</f>
        <v>1</v>
      </c>
      <c r="J68" s="42">
        <f>IF(OP_Brian,OW_Brian / OP_Brian,"")</f>
        <v>0.2</v>
      </c>
      <c r="L68" s="2" t="s">
        <v>75</v>
      </c>
      <c r="M68" s="2"/>
      <c r="N68" s="2"/>
      <c r="O68" s="2"/>
      <c r="P68" s="2"/>
    </row>
    <row r="69" spans="1:16" x14ac:dyDescent="0.25">
      <c r="A69" s="21" t="s">
        <v>64</v>
      </c>
      <c r="B69" s="16">
        <v>2</v>
      </c>
      <c r="C69" s="16">
        <v>1</v>
      </c>
      <c r="D69" s="42">
        <f>IF(DP_Dave,DW_Dave / DP_Dave,"")</f>
        <v>0.33333333333333331</v>
      </c>
      <c r="E69" s="16">
        <v>4</v>
      </c>
      <c r="F69" s="16">
        <v>3</v>
      </c>
      <c r="G69" s="42">
        <f>IF(SP_Dave,SW_Dave / SP_Dave,"")</f>
        <v>0.8</v>
      </c>
      <c r="H69" s="16">
        <f>DP_Dave + SP_Dave</f>
        <v>8</v>
      </c>
      <c r="I69" s="16">
        <f>DW_Dave + SW_Dave</f>
        <v>5</v>
      </c>
      <c r="J69" s="42">
        <f>IF(OP_Dave,OW_Dave / OP_Dave,"")</f>
        <v>0.625</v>
      </c>
      <c r="L69" s="2" t="s">
        <v>64</v>
      </c>
      <c r="M69" s="2"/>
      <c r="N69" s="2">
        <v>7</v>
      </c>
      <c r="O69" s="2"/>
      <c r="P69" s="2"/>
    </row>
    <row r="70" spans="1:16" x14ac:dyDescent="0.25">
      <c r="A70" s="21" t="s">
        <v>68</v>
      </c>
      <c r="B70" s="16">
        <v>2</v>
      </c>
      <c r="C70" s="16">
        <v>1</v>
      </c>
      <c r="D70" s="42">
        <f>IF(DP_John,DW_John / DP_John,"")</f>
        <v>0.33333333333333331</v>
      </c>
      <c r="E70" s="16">
        <v>3</v>
      </c>
      <c r="F70" s="16">
        <v>3</v>
      </c>
      <c r="G70" s="42">
        <f>IF(SP_John,SW_John / SP_John,"")</f>
        <v>0.75</v>
      </c>
      <c r="H70" s="16">
        <f>DP_John + SP_John</f>
        <v>7</v>
      </c>
      <c r="I70" s="16">
        <f>DW_John + SW_John</f>
        <v>4</v>
      </c>
      <c r="J70" s="42">
        <f>IF(OP_John,OW_John / OP_John,"")</f>
        <v>0.5714285714285714</v>
      </c>
      <c r="L70" s="2" t="s">
        <v>68</v>
      </c>
      <c r="M70" s="2">
        <v>1</v>
      </c>
      <c r="N70" s="2">
        <v>5</v>
      </c>
      <c r="O70" s="2"/>
      <c r="P70" s="2"/>
    </row>
    <row r="71" spans="1:16" x14ac:dyDescent="0.25">
      <c r="A71" s="21" t="s">
        <v>77</v>
      </c>
      <c r="B71" s="16">
        <v>1</v>
      </c>
      <c r="C71" s="16">
        <v>1</v>
      </c>
      <c r="D71" s="42">
        <f>IF(DP_Jim,DW_Jim / DP_Jim,"")</f>
        <v>1</v>
      </c>
      <c r="E71" s="16">
        <v>2</v>
      </c>
      <c r="F71" s="16"/>
      <c r="G71" s="42">
        <f>IF(SP_Jim,SW_Jim / SP_Jim,"")</f>
        <v>0</v>
      </c>
      <c r="H71" s="16">
        <f>DP_Jim + SP_Jim</f>
        <v>3</v>
      </c>
      <c r="I71" s="16">
        <f>DW_Jim + SW_Jim</f>
        <v>1</v>
      </c>
      <c r="J71" s="42">
        <f>IF(OP_Jim,OW_Jim / OP_Jim,"")</f>
        <v>0.33333333333333331</v>
      </c>
      <c r="L71" s="2" t="s">
        <v>77</v>
      </c>
      <c r="M71" s="2">
        <v>3</v>
      </c>
      <c r="N71" s="2">
        <v>1</v>
      </c>
      <c r="O71" s="2"/>
      <c r="P71" s="2"/>
    </row>
    <row r="72" spans="1:16" x14ac:dyDescent="0.25">
      <c r="A72" s="21" t="s">
        <v>102</v>
      </c>
      <c r="B72" s="16">
        <v>3</v>
      </c>
      <c r="C72" s="16">
        <v>1</v>
      </c>
      <c r="D72" s="42">
        <f>IF(DP_Adam,DW_Adam / DP_Adam,"")</f>
        <v>0.25</v>
      </c>
      <c r="E72" s="16">
        <v>1</v>
      </c>
      <c r="F72" s="16"/>
      <c r="G72" s="42">
        <f>IF(SP_Adam,SW_Adam / SP_Adam,"")</f>
        <v>0</v>
      </c>
      <c r="H72" s="16">
        <f>DP_Adam + SP_Adam</f>
        <v>5</v>
      </c>
      <c r="I72" s="16">
        <f>DW_Adam + SW_Adam</f>
        <v>1</v>
      </c>
      <c r="J72" s="42">
        <f>IF(OP_Adam,OW_Adam / OP_Adam,"")</f>
        <v>0.2</v>
      </c>
      <c r="L72" s="2" t="s">
        <v>102</v>
      </c>
      <c r="M72" s="2">
        <v>2</v>
      </c>
      <c r="N72" s="2"/>
      <c r="O72" s="2"/>
      <c r="P72" s="2"/>
    </row>
    <row r="73" spans="1:16" x14ac:dyDescent="0.25">
      <c r="A73" s="21" t="s">
        <v>79</v>
      </c>
      <c r="B73" s="16">
        <v>1</v>
      </c>
      <c r="C73" s="16">
        <v>1</v>
      </c>
      <c r="D73" s="42">
        <f>IF(DP_Scott,DW_Scott / DP_Scott,"")</f>
        <v>1</v>
      </c>
      <c r="E73" s="16"/>
      <c r="F73" s="16"/>
      <c r="G73" s="42">
        <f>IF(SP_Scott,SW_Scott / SP_Scott,"")</f>
        <v>1</v>
      </c>
      <c r="H73" s="16">
        <f>DP_Scott + SP_Scott</f>
        <v>2</v>
      </c>
      <c r="I73" s="16">
        <f>DW_Scott + SW_Scott</f>
        <v>2</v>
      </c>
      <c r="J73" s="42">
        <f>IF(OP_Scott,OW_Scott / OP_Scott,"")</f>
        <v>1</v>
      </c>
      <c r="L73" s="2" t="s">
        <v>79</v>
      </c>
      <c r="M73" s="2"/>
      <c r="N73" s="2">
        <v>1</v>
      </c>
      <c r="O73" s="2"/>
      <c r="P73" s="2"/>
    </row>
    <row r="74" spans="1:16" x14ac:dyDescent="0.25">
      <c r="A74" s="21" t="s">
        <v>104</v>
      </c>
      <c r="B74" s="16">
        <v>3</v>
      </c>
      <c r="C74" s="16">
        <v>1</v>
      </c>
      <c r="D74" s="42">
        <f>IF(DP_Keith,DW_Keith / DP_Keith,"")</f>
        <v>0.33333333333333331</v>
      </c>
      <c r="E74" s="16">
        <v>1</v>
      </c>
      <c r="F74" s="16"/>
      <c r="G74" s="42">
        <f>IF(SP_Keith,SW_Keith / SP_Keith,"")</f>
        <v>0</v>
      </c>
      <c r="H74" s="16">
        <f>DP_Keith + SP_Keith</f>
        <v>5</v>
      </c>
      <c r="I74" s="16">
        <f>DW_Keith + SW_Keith</f>
        <v>1</v>
      </c>
      <c r="J74" s="42">
        <f>IF(OP_Keith,OW_Keith / OP_Keith,"")</f>
        <v>0.2</v>
      </c>
      <c r="L74" s="2" t="s">
        <v>104</v>
      </c>
      <c r="M74" s="2">
        <v>2</v>
      </c>
      <c r="N74" s="2"/>
      <c r="O74" s="2"/>
      <c r="P74" s="2"/>
    </row>
    <row r="75" spans="1:16" x14ac:dyDescent="0.25">
      <c r="A75" s="21" t="s">
        <v>71</v>
      </c>
      <c r="B75" s="16">
        <v>2</v>
      </c>
      <c r="C75" s="16">
        <v>1</v>
      </c>
      <c r="D75" s="42">
        <f>IF(DP_Mark,DW_Mark / DP_Mark,"")</f>
        <v>0.33333333333333331</v>
      </c>
      <c r="E75" s="16">
        <v>2</v>
      </c>
      <c r="F75" s="16">
        <v>1</v>
      </c>
      <c r="G75" s="42">
        <f>IF(SP_Mark,SW_Mark / SP_Mark,"")</f>
        <v>0.33333333333333331</v>
      </c>
      <c r="H75" s="16">
        <f>DP_Mark + SP_Mark</f>
        <v>6</v>
      </c>
      <c r="I75" s="16">
        <f>DW_Mark + SW_Mark</f>
        <v>2</v>
      </c>
      <c r="J75" s="42">
        <f>IF(OP_Mark,OW_Mark / OP_Mark,"")</f>
        <v>0.33333333333333331</v>
      </c>
      <c r="L75" s="2" t="s">
        <v>71</v>
      </c>
      <c r="M75" s="2">
        <v>3</v>
      </c>
      <c r="N75" s="2">
        <v>4</v>
      </c>
      <c r="O75" s="2">
        <v>1</v>
      </c>
      <c r="P75" s="2"/>
    </row>
    <row r="76" spans="1:16" x14ac:dyDescent="0.25">
      <c r="A76" s="21" t="s">
        <v>106</v>
      </c>
      <c r="B76" s="16">
        <v>1</v>
      </c>
      <c r="C76" s="16"/>
      <c r="D76" s="42">
        <f>IF(DP_DanC,DW_DanC / DP_DanC,"")</f>
        <v>0</v>
      </c>
      <c r="E76" s="16">
        <v>2</v>
      </c>
      <c r="F76" s="16">
        <v>2</v>
      </c>
      <c r="G76" s="42">
        <f>IF(SP_DanC,SW_DanC / SP_DanC,"")</f>
        <v>1</v>
      </c>
      <c r="H76" s="16">
        <f>DP_DanC + SP_DanC</f>
        <v>4</v>
      </c>
      <c r="I76" s="16">
        <f>DW_DanC + SW_DanC</f>
        <v>2</v>
      </c>
      <c r="J76" s="42">
        <f>IF(OP_DanC,OW_DanC / OP_DanC,"")</f>
        <v>0.5</v>
      </c>
      <c r="L76" s="2" t="s">
        <v>106</v>
      </c>
      <c r="M76" s="2">
        <v>2</v>
      </c>
      <c r="N76" s="2"/>
      <c r="O76" s="2"/>
      <c r="P76" s="2"/>
    </row>
    <row r="77" spans="1:16" x14ac:dyDescent="0.25">
      <c r="A77" s="21" t="s">
        <v>65</v>
      </c>
      <c r="B77" s="16">
        <v>1</v>
      </c>
      <c r="C77" s="16"/>
      <c r="D77" s="42">
        <f>IF(DP_Les,DW_Les / DP_Les,"")</f>
        <v>0</v>
      </c>
      <c r="E77" s="16">
        <v>1</v>
      </c>
      <c r="F77" s="16"/>
      <c r="G77" s="42">
        <f>IF(SP_Les,SW_Les / SP_Les,"")</f>
        <v>0</v>
      </c>
      <c r="H77" s="16">
        <f>DP_Les + SP_Les</f>
        <v>2</v>
      </c>
      <c r="I77" s="16">
        <f>DW_Les + SW_Les</f>
        <v>0</v>
      </c>
      <c r="J77" s="42">
        <f>IF(OP_Les,OW_Les / OP_Les,"")</f>
        <v>0</v>
      </c>
      <c r="L77" t="s">
        <v>65</v>
      </c>
    </row>
    <row r="78" spans="1:16" ht="14.95" thickBot="1" x14ac:dyDescent="0.3">
      <c r="A78" s="21" t="s">
        <v>109</v>
      </c>
      <c r="B78" s="16"/>
      <c r="C78" s="16"/>
      <c r="D78" s="42" t="str">
        <f>IF(DP_DanH,DW_DanH / DP_DanH,"")</f>
        <v/>
      </c>
      <c r="E78" s="16"/>
      <c r="F78" s="16"/>
      <c r="G78" s="42" t="str">
        <f>IF(SP_DanH,SW_DanH / SP_DanH,"")</f>
        <v/>
      </c>
      <c r="H78" s="16">
        <f>DP_DanH + SP_DanH</f>
        <v>0</v>
      </c>
      <c r="I78" s="16">
        <f>DW_DanH + SW_DanH</f>
        <v>0</v>
      </c>
      <c r="J78" s="42" t="str">
        <f>IF(OP_DanH,OW_DanH / OP_DanH,"")</f>
        <v/>
      </c>
      <c r="L78" t="s">
        <v>109</v>
      </c>
    </row>
    <row r="79" spans="1:16" ht="20.399999999999999" thickTop="1" thickBot="1" x14ac:dyDescent="0.3">
      <c r="A79" s="69" t="s">
        <v>86</v>
      </c>
      <c r="B79" s="70"/>
      <c r="C79" s="70"/>
      <c r="D79" s="71"/>
    </row>
    <row r="80" spans="1:16" ht="14.95" thickTop="1" x14ac:dyDescent="0.25">
      <c r="A80" s="15" t="s">
        <v>8</v>
      </c>
      <c r="B80" s="64" t="s">
        <v>23</v>
      </c>
      <c r="C80" s="65"/>
      <c r="D80" s="66"/>
      <c r="E80" s="67" t="s">
        <v>26</v>
      </c>
      <c r="F80" s="65"/>
      <c r="G80" s="66"/>
      <c r="H80" s="65" t="s">
        <v>27</v>
      </c>
      <c r="I80" s="65"/>
      <c r="J80" s="68"/>
    </row>
    <row r="81" spans="1:16" x14ac:dyDescent="0.25">
      <c r="A81" s="21" t="s">
        <v>52</v>
      </c>
      <c r="B81" s="16" t="s">
        <v>24</v>
      </c>
      <c r="C81" s="16" t="s">
        <v>25</v>
      </c>
      <c r="D81" s="42" t="s">
        <v>28</v>
      </c>
      <c r="E81" s="16" t="s">
        <v>24</v>
      </c>
      <c r="F81" s="16" t="s">
        <v>25</v>
      </c>
      <c r="G81" s="42" t="s">
        <v>28</v>
      </c>
      <c r="H81" s="16" t="s">
        <v>24</v>
      </c>
      <c r="I81" s="16" t="s">
        <v>25</v>
      </c>
      <c r="J81" s="42" t="s">
        <v>28</v>
      </c>
      <c r="L81" s="2" t="s">
        <v>8</v>
      </c>
      <c r="M81" s="6" t="s">
        <v>9</v>
      </c>
      <c r="N81" s="6" t="s">
        <v>10</v>
      </c>
      <c r="O81" s="6" t="s">
        <v>11</v>
      </c>
      <c r="P81" s="7" t="s">
        <v>12</v>
      </c>
    </row>
    <row r="82" spans="1:16" x14ac:dyDescent="0.25">
      <c r="A82" s="21" t="s">
        <v>66</v>
      </c>
      <c r="B82" s="16">
        <v>3</v>
      </c>
      <c r="C82" s="16">
        <v>1</v>
      </c>
      <c r="D82" s="42">
        <f>IF(DP_Callum,DW_Callum / DP_Callum,"")</f>
        <v>0.33333333333333331</v>
      </c>
      <c r="E82" s="16">
        <v>2</v>
      </c>
      <c r="F82" s="16">
        <v>2</v>
      </c>
      <c r="G82" s="42">
        <f>IF(SP_Callum,SW_Callum / SP_Callum,"")</f>
        <v>1</v>
      </c>
      <c r="H82" s="16">
        <f>DP_Callum + SP_Callum</f>
        <v>5</v>
      </c>
      <c r="I82" s="16">
        <f>DW_Callum + SW_Callum</f>
        <v>3</v>
      </c>
      <c r="J82" s="42">
        <f>IF(OP_Callum,OW_Callum / OP_Callum,"")</f>
        <v>0.6</v>
      </c>
      <c r="L82" s="2" t="s">
        <v>66</v>
      </c>
      <c r="M82" s="2"/>
      <c r="N82" s="2">
        <v>3</v>
      </c>
      <c r="O82" s="2">
        <v>1</v>
      </c>
      <c r="P82" s="2"/>
    </row>
    <row r="83" spans="1:16" x14ac:dyDescent="0.25">
      <c r="A83" s="21" t="s">
        <v>73</v>
      </c>
      <c r="B83" s="16">
        <v>4</v>
      </c>
      <c r="C83" s="16">
        <v>2</v>
      </c>
      <c r="D83" s="42">
        <f>IF(DP_Neil,DW_Neil / DP_Neil,"")</f>
        <v>0.5</v>
      </c>
      <c r="E83" s="16">
        <v>4</v>
      </c>
      <c r="F83" s="16">
        <v>2</v>
      </c>
      <c r="G83" s="42">
        <f>IF(SP_Neil,SW_Neil / SP_Neil,"")</f>
        <v>0.5</v>
      </c>
      <c r="H83" s="16">
        <f>DP_Neil + SP_Neil</f>
        <v>8</v>
      </c>
      <c r="I83" s="16">
        <f>DW_Neil + SW_Neil</f>
        <v>4</v>
      </c>
      <c r="J83" s="42">
        <f>IF(OP_Neil,OW_Neil / OP_Neil,"")</f>
        <v>0.5</v>
      </c>
      <c r="L83" s="2" t="s">
        <v>73</v>
      </c>
      <c r="M83" s="2"/>
      <c r="N83" s="2">
        <v>5</v>
      </c>
      <c r="O83" s="2"/>
      <c r="P83" s="2"/>
    </row>
    <row r="84" spans="1:16" x14ac:dyDescent="0.25">
      <c r="A84" s="21" t="s">
        <v>75</v>
      </c>
      <c r="B84" s="16">
        <v>2</v>
      </c>
      <c r="C84" s="16"/>
      <c r="D84" s="42">
        <f>IF(DP_Brian,DW_Brian / DP_Brian,"")</f>
        <v>0</v>
      </c>
      <c r="E84" s="16">
        <v>3</v>
      </c>
      <c r="F84" s="16">
        <v>1</v>
      </c>
      <c r="G84" s="42">
        <f>IF(SP_Brian,SW_Brian / SP_Brian,"")</f>
        <v>0.33333333333333331</v>
      </c>
      <c r="H84" s="16">
        <f>DP_Brian + SP_Brian</f>
        <v>5</v>
      </c>
      <c r="I84" s="16">
        <f>DW_Brian + SW_Brian</f>
        <v>1</v>
      </c>
      <c r="J84" s="42">
        <f>IF(OP_Brian,OW_Brian / OP_Brian,"")</f>
        <v>0.2</v>
      </c>
      <c r="L84" s="2" t="s">
        <v>75</v>
      </c>
      <c r="M84" s="2"/>
      <c r="N84" s="2"/>
      <c r="O84" s="2"/>
      <c r="P84" s="2"/>
    </row>
    <row r="85" spans="1:16" x14ac:dyDescent="0.25">
      <c r="A85" s="21" t="s">
        <v>64</v>
      </c>
      <c r="B85" s="16">
        <v>3</v>
      </c>
      <c r="C85" s="16">
        <v>1</v>
      </c>
      <c r="D85" s="42">
        <f>IF(DP_Dave,DW_Dave / DP_Dave,"")</f>
        <v>0.33333333333333331</v>
      </c>
      <c r="E85" s="16">
        <v>5</v>
      </c>
      <c r="F85" s="16">
        <v>4</v>
      </c>
      <c r="G85" s="42">
        <f>IF(SP_Dave,SW_Dave / SP_Dave,"")</f>
        <v>0.8</v>
      </c>
      <c r="H85" s="16">
        <f>DP_Dave + SP_Dave</f>
        <v>8</v>
      </c>
      <c r="I85" s="16">
        <f>DW_Dave + SW_Dave</f>
        <v>5</v>
      </c>
      <c r="J85" s="42">
        <f>IF(OP_Dave,OW_Dave / OP_Dave,"")</f>
        <v>0.625</v>
      </c>
      <c r="L85" s="2" t="s">
        <v>64</v>
      </c>
      <c r="M85" s="2"/>
      <c r="N85" s="2">
        <v>11</v>
      </c>
      <c r="O85" s="2"/>
      <c r="P85" s="2">
        <v>1</v>
      </c>
    </row>
    <row r="86" spans="1:16" x14ac:dyDescent="0.25">
      <c r="A86" s="21" t="s">
        <v>68</v>
      </c>
      <c r="B86" s="16">
        <v>3</v>
      </c>
      <c r="C86" s="16">
        <v>1</v>
      </c>
      <c r="D86" s="42">
        <f>IF(DP_John,DW_John / DP_John,"")</f>
        <v>0.33333333333333331</v>
      </c>
      <c r="E86" s="16">
        <v>4</v>
      </c>
      <c r="F86" s="16">
        <v>3</v>
      </c>
      <c r="G86" s="42">
        <f>IF(SP_John,SW_John / SP_John,"")</f>
        <v>0.75</v>
      </c>
      <c r="H86" s="16">
        <f>DP_John + SP_John</f>
        <v>7</v>
      </c>
      <c r="I86" s="16">
        <f>DW_John + SW_John</f>
        <v>4</v>
      </c>
      <c r="J86" s="42">
        <f>IF(OP_John,OW_John / OP_John,"")</f>
        <v>0.5714285714285714</v>
      </c>
      <c r="L86" s="2" t="s">
        <v>68</v>
      </c>
      <c r="M86" s="2">
        <v>1</v>
      </c>
      <c r="N86" s="2">
        <v>15</v>
      </c>
      <c r="O86" s="2"/>
      <c r="P86" s="2"/>
    </row>
    <row r="87" spans="1:16" x14ac:dyDescent="0.25">
      <c r="A87" s="21" t="s">
        <v>77</v>
      </c>
      <c r="B87" s="16">
        <v>1</v>
      </c>
      <c r="C87" s="16">
        <v>1</v>
      </c>
      <c r="D87" s="42">
        <f>IF(DP_Jim,DW_Jim / DP_Jim,"")</f>
        <v>1</v>
      </c>
      <c r="E87" s="16">
        <v>2</v>
      </c>
      <c r="F87" s="16"/>
      <c r="G87" s="42">
        <f>IF(SP_Jim,SW_Jim / SP_Jim,"")</f>
        <v>0</v>
      </c>
      <c r="H87" s="16">
        <f>DP_Jim + SP_Jim</f>
        <v>3</v>
      </c>
      <c r="I87" s="16">
        <f>DW_Jim + SW_Jim</f>
        <v>1</v>
      </c>
      <c r="J87" s="42">
        <f>IF(OP_Jim,OW_Jim / OP_Jim,"")</f>
        <v>0.33333333333333331</v>
      </c>
      <c r="L87" s="2" t="s">
        <v>77</v>
      </c>
      <c r="M87" s="2">
        <v>3</v>
      </c>
      <c r="N87" s="2">
        <v>1</v>
      </c>
      <c r="O87" s="2"/>
      <c r="P87" s="2"/>
    </row>
    <row r="88" spans="1:16" x14ac:dyDescent="0.25">
      <c r="A88" s="21" t="s">
        <v>102</v>
      </c>
      <c r="B88" s="16">
        <v>4</v>
      </c>
      <c r="C88" s="16">
        <v>1</v>
      </c>
      <c r="D88" s="42">
        <f>IF(DP_Adam,DW_Adam / DP_Adam,"")</f>
        <v>0.25</v>
      </c>
      <c r="E88" s="16">
        <v>1</v>
      </c>
      <c r="F88" s="16"/>
      <c r="G88" s="42">
        <f>IF(SP_Adam,SW_Adam / SP_Adam,"")</f>
        <v>0</v>
      </c>
      <c r="H88" s="16">
        <f>DP_Adam + SP_Adam</f>
        <v>5</v>
      </c>
      <c r="I88" s="16">
        <f>DW_Adam + SW_Adam</f>
        <v>1</v>
      </c>
      <c r="J88" s="42">
        <f>IF(OP_Adam,OW_Adam / OP_Adam,"")</f>
        <v>0.2</v>
      </c>
      <c r="L88" s="2" t="s">
        <v>102</v>
      </c>
      <c r="M88" s="2">
        <v>4</v>
      </c>
      <c r="N88" s="2"/>
      <c r="O88" s="2"/>
      <c r="P88" s="2"/>
    </row>
    <row r="89" spans="1:16" x14ac:dyDescent="0.25">
      <c r="A89" s="21" t="s">
        <v>79</v>
      </c>
      <c r="B89" s="16">
        <v>1</v>
      </c>
      <c r="C89" s="16">
        <v>1</v>
      </c>
      <c r="D89" s="42">
        <f>IF(DP_Scott,DW_Scott / DP_Scott,"")</f>
        <v>1</v>
      </c>
      <c r="E89" s="16">
        <v>1</v>
      </c>
      <c r="F89" s="16">
        <v>1</v>
      </c>
      <c r="G89" s="42">
        <f>IF(SP_Scott,SW_Scott / SP_Scott,"")</f>
        <v>1</v>
      </c>
      <c r="H89" s="16">
        <f>DP_Scott + SP_Scott</f>
        <v>2</v>
      </c>
      <c r="I89" s="16">
        <f>DW_Scott + SW_Scott</f>
        <v>2</v>
      </c>
      <c r="J89" s="42">
        <f>IF(OP_Scott,OW_Scott / OP_Scott,"")</f>
        <v>1</v>
      </c>
      <c r="L89" s="2" t="s">
        <v>79</v>
      </c>
      <c r="M89" s="2"/>
      <c r="N89" s="2">
        <v>2</v>
      </c>
      <c r="O89" s="2"/>
      <c r="P89" s="2"/>
    </row>
    <row r="90" spans="1:16" x14ac:dyDescent="0.25">
      <c r="A90" s="21" t="s">
        <v>104</v>
      </c>
      <c r="B90" s="16">
        <v>3</v>
      </c>
      <c r="C90" s="16">
        <v>1</v>
      </c>
      <c r="D90" s="42">
        <f>IF(DP_Keith,DW_Keith / DP_Keith,"")</f>
        <v>0.33333333333333331</v>
      </c>
      <c r="E90" s="16">
        <v>2</v>
      </c>
      <c r="F90" s="16"/>
      <c r="G90" s="42">
        <f>IF(SP_Keith,SW_Keith / SP_Keith,"")</f>
        <v>0</v>
      </c>
      <c r="H90" s="16">
        <f>DP_Keith + SP_Keith</f>
        <v>5</v>
      </c>
      <c r="I90" s="16">
        <f>DW_Keith + SW_Keith</f>
        <v>1</v>
      </c>
      <c r="J90" s="42">
        <f>IF(OP_Keith,OW_Keith / OP_Keith,"")</f>
        <v>0.2</v>
      </c>
      <c r="L90" s="2" t="s">
        <v>104</v>
      </c>
      <c r="M90" s="2">
        <v>3</v>
      </c>
      <c r="N90" s="2"/>
      <c r="O90" s="2"/>
      <c r="P90" s="2"/>
    </row>
    <row r="91" spans="1:16" x14ac:dyDescent="0.25">
      <c r="A91" s="21" t="s">
        <v>71</v>
      </c>
      <c r="B91" s="16">
        <v>3</v>
      </c>
      <c r="C91" s="16">
        <v>1</v>
      </c>
      <c r="D91" s="42">
        <f>IF(DP_Mark,DW_Mark / DP_Mark,"")</f>
        <v>0.33333333333333331</v>
      </c>
      <c r="E91" s="16">
        <v>3</v>
      </c>
      <c r="F91" s="16">
        <v>1</v>
      </c>
      <c r="G91" s="42">
        <f>IF(SP_Mark,SW_Mark / SP_Mark,"")</f>
        <v>0.33333333333333331</v>
      </c>
      <c r="H91" s="16">
        <f>DP_Mark + SP_Mark</f>
        <v>6</v>
      </c>
      <c r="I91" s="16">
        <f>DW_Mark + SW_Mark</f>
        <v>2</v>
      </c>
      <c r="J91" s="42">
        <f>IF(OP_Mark,OW_Mark / OP_Mark,"")</f>
        <v>0.33333333333333331</v>
      </c>
      <c r="L91" s="2" t="s">
        <v>71</v>
      </c>
      <c r="M91" s="2">
        <v>3</v>
      </c>
      <c r="N91" s="2">
        <v>7</v>
      </c>
      <c r="O91" s="2">
        <v>1</v>
      </c>
      <c r="P91" s="2"/>
    </row>
    <row r="92" spans="1:16" x14ac:dyDescent="0.25">
      <c r="A92" s="21" t="s">
        <v>106</v>
      </c>
      <c r="B92" s="16">
        <v>2</v>
      </c>
      <c r="C92" s="16"/>
      <c r="D92" s="42">
        <f>IF(DP_DanC,DW_DanC / DP_DanC,"")</f>
        <v>0</v>
      </c>
      <c r="E92" s="16">
        <v>2</v>
      </c>
      <c r="F92" s="16">
        <v>2</v>
      </c>
      <c r="G92" s="42">
        <f>IF(SP_DanC,SW_DanC / SP_DanC,"")</f>
        <v>1</v>
      </c>
      <c r="H92" s="16">
        <f>DP_DanC + SP_DanC</f>
        <v>4</v>
      </c>
      <c r="I92" s="16">
        <f>DW_DanC + SW_DanC</f>
        <v>2</v>
      </c>
      <c r="J92" s="42">
        <f>IF(OP_DanC,OW_DanC / OP_DanC,"")</f>
        <v>0.5</v>
      </c>
      <c r="L92" s="2" t="s">
        <v>106</v>
      </c>
      <c r="M92" s="2">
        <v>2</v>
      </c>
      <c r="N92" s="2">
        <v>1</v>
      </c>
      <c r="O92" s="2"/>
      <c r="P92" s="2"/>
    </row>
    <row r="93" spans="1:16" x14ac:dyDescent="0.25">
      <c r="A93" s="21" t="s">
        <v>65</v>
      </c>
      <c r="B93" s="16">
        <v>1</v>
      </c>
      <c r="C93" s="16"/>
      <c r="D93" s="42">
        <f>IF(DP_Les,DW_Les / DP_Les,"")</f>
        <v>0</v>
      </c>
      <c r="E93" s="16">
        <v>1</v>
      </c>
      <c r="F93" s="16"/>
      <c r="G93" s="42">
        <f>IF(SP_Les,SW_Les / SP_Les,"")</f>
        <v>0</v>
      </c>
      <c r="H93" s="16">
        <f>DP_Les + SP_Les</f>
        <v>2</v>
      </c>
      <c r="I93" s="16">
        <f>DW_Les + SW_Les</f>
        <v>0</v>
      </c>
      <c r="J93" s="42">
        <f>IF(OP_Les,OW_Les / OP_Les,"")</f>
        <v>0</v>
      </c>
      <c r="L93" s="2" t="s">
        <v>65</v>
      </c>
      <c r="M93" s="2"/>
      <c r="N93" s="2"/>
      <c r="O93" s="2"/>
      <c r="P93" s="2"/>
    </row>
    <row r="94" spans="1:16" x14ac:dyDescent="0.25">
      <c r="A94" s="21" t="s">
        <v>109</v>
      </c>
      <c r="B94" s="16"/>
      <c r="C94" s="16"/>
      <c r="D94" s="42" t="str">
        <f>IF(DP_DanH,DW_DanH / DP_DanH,"")</f>
        <v/>
      </c>
      <c r="E94" s="16"/>
      <c r="F94" s="16"/>
      <c r="G94" s="42" t="str">
        <f>IF(SP_DanH,SW_DanH / SP_DanH,"")</f>
        <v/>
      </c>
      <c r="H94" s="16">
        <f>DP_DanH + SP_DanH</f>
        <v>0</v>
      </c>
      <c r="I94" s="16">
        <f>DW_DanH + SW_DanH</f>
        <v>0</v>
      </c>
      <c r="J94" s="42" t="str">
        <f>IF(OP_DanH,OW_DanH / OP_DanH,"")</f>
        <v/>
      </c>
      <c r="L94" s="2" t="s">
        <v>109</v>
      </c>
      <c r="M94" s="2"/>
      <c r="N94" s="2"/>
      <c r="O94" s="2"/>
      <c r="P94" s="2"/>
    </row>
  </sheetData>
  <mergeCells count="24">
    <mergeCell ref="A79:D79"/>
    <mergeCell ref="B80:D80"/>
    <mergeCell ref="E80:G80"/>
    <mergeCell ref="H80:J80"/>
    <mergeCell ref="B18:D18"/>
    <mergeCell ref="E18:G18"/>
    <mergeCell ref="H18:J18"/>
    <mergeCell ref="A32:D32"/>
    <mergeCell ref="B33:D33"/>
    <mergeCell ref="E33:G33"/>
    <mergeCell ref="H33:J33"/>
    <mergeCell ref="A3:D3"/>
    <mergeCell ref="B4:D4"/>
    <mergeCell ref="E4:G4"/>
    <mergeCell ref="H4:J4"/>
    <mergeCell ref="A17:D17"/>
    <mergeCell ref="A63:D63"/>
    <mergeCell ref="B64:D64"/>
    <mergeCell ref="E64:G64"/>
    <mergeCell ref="H64:J64"/>
    <mergeCell ref="A47:D47"/>
    <mergeCell ref="B48:D48"/>
    <mergeCell ref="E48:G48"/>
    <mergeCell ref="H48:J48"/>
  </mergeCells>
  <dataValidations count="1">
    <dataValidation type="list" allowBlank="1" showInputMessage="1" showErrorMessage="1" sqref="A16 L16" xr:uid="{B8A44A85-33C9-45C0-9C44-5C6C7BE766A9}">
      <formula1>PlayerName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GoToNavigation">
                <anchor moveWithCells="1">
                  <from>
                    <xdr:col>18</xdr:col>
                    <xdr:colOff>379562</xdr:colOff>
                    <xdr:row>0</xdr:row>
                    <xdr:rowOff>0</xdr:rowOff>
                  </from>
                  <to>
                    <xdr:col>22</xdr:col>
                    <xdr:colOff>103517</xdr:colOff>
                    <xdr:row>2</xdr:row>
                    <xdr:rowOff>112143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36AB6-9DD9-4DD3-B5A1-434523F15DC0}">
  <sheetPr codeName="AwayGame"/>
  <dimension ref="A1:H18"/>
  <sheetViews>
    <sheetView workbookViewId="0">
      <selection activeCell="E21" sqref="E21"/>
    </sheetView>
  </sheetViews>
  <sheetFormatPr defaultRowHeight="14.3" x14ac:dyDescent="0.25"/>
  <cols>
    <col min="1" max="1" width="16.25" style="5" customWidth="1"/>
    <col min="2" max="2" width="22" customWidth="1"/>
    <col min="3" max="4" width="11.25" customWidth="1"/>
    <col min="5" max="5" width="22" customWidth="1"/>
  </cols>
  <sheetData>
    <row r="1" spans="1:8" ht="38.75" customHeight="1" thickTop="1" thickBot="1" x14ac:dyDescent="0.3">
      <c r="A1" s="3" t="s">
        <v>22</v>
      </c>
      <c r="B1" s="69" t="s">
        <v>31</v>
      </c>
      <c r="C1" s="70"/>
      <c r="D1" s="70"/>
      <c r="E1" s="71"/>
    </row>
    <row r="2" spans="1:8" ht="15.65" customHeight="1" thickTop="1" thickBot="1" x14ac:dyDescent="0.3">
      <c r="A2"/>
      <c r="B2" s="76" t="s">
        <v>30</v>
      </c>
      <c r="C2" s="76"/>
      <c r="D2" s="76"/>
      <c r="E2" s="76"/>
    </row>
    <row r="3" spans="1:8" ht="24.45" customHeight="1" x14ac:dyDescent="0.25">
      <c r="A3" s="4" t="s">
        <v>13</v>
      </c>
      <c r="B3" s="22"/>
      <c r="C3" s="77"/>
      <c r="D3" s="79"/>
      <c r="E3" s="30"/>
    </row>
    <row r="4" spans="1:8" ht="24.45" customHeight="1" thickBot="1" x14ac:dyDescent="0.3">
      <c r="A4" s="4"/>
      <c r="B4" s="23"/>
      <c r="C4" s="78"/>
      <c r="D4" s="80"/>
      <c r="E4" s="31"/>
      <c r="G4" t="str">
        <f>IF(C3=2,"L","")</f>
        <v/>
      </c>
      <c r="H4" t="str">
        <f>IF(D3=2,"W","")</f>
        <v/>
      </c>
    </row>
    <row r="5" spans="1:8" ht="11.55" customHeight="1" thickBot="1" x14ac:dyDescent="0.3"/>
    <row r="6" spans="1:8" ht="24.45" customHeight="1" x14ac:dyDescent="0.25">
      <c r="A6" s="4" t="s">
        <v>14</v>
      </c>
      <c r="B6" s="32"/>
      <c r="C6" s="72"/>
      <c r="D6" s="74"/>
      <c r="E6" s="24"/>
      <c r="G6" t="str">
        <f t="shared" ref="G6:G9" si="0">IF(C5=2,"W","")</f>
        <v/>
      </c>
      <c r="H6" t="str">
        <f t="shared" ref="H6" si="1">IF(D5=2,"L","")</f>
        <v/>
      </c>
    </row>
    <row r="7" spans="1:8" ht="24.45" customHeight="1" thickBot="1" x14ac:dyDescent="0.3">
      <c r="A7" s="4"/>
      <c r="B7" s="33"/>
      <c r="C7" s="73"/>
      <c r="D7" s="75"/>
      <c r="E7" s="25"/>
      <c r="G7" t="str">
        <f>IF(C6=2,"L","")</f>
        <v/>
      </c>
      <c r="H7" t="str">
        <f>IF(D6=2,"W","")</f>
        <v/>
      </c>
    </row>
    <row r="8" spans="1:8" ht="11.55" customHeight="1" thickBot="1" x14ac:dyDescent="0.3"/>
    <row r="9" spans="1:8" ht="24.45" customHeight="1" x14ac:dyDescent="0.25">
      <c r="A9" s="4" t="s">
        <v>15</v>
      </c>
      <c r="B9" s="32"/>
      <c r="C9" s="72"/>
      <c r="D9" s="74"/>
      <c r="E9" s="24"/>
      <c r="G9" t="str">
        <f t="shared" si="0"/>
        <v/>
      </c>
    </row>
    <row r="10" spans="1:8" ht="24.45" customHeight="1" thickBot="1" x14ac:dyDescent="0.3">
      <c r="A10" s="4"/>
      <c r="B10" s="33"/>
      <c r="C10" s="73"/>
      <c r="D10" s="75"/>
      <c r="E10" s="25"/>
      <c r="G10" t="str">
        <f>IF(C9=2,"L","")</f>
        <v/>
      </c>
      <c r="H10" t="str">
        <f>IF(D9=2,"W","")</f>
        <v/>
      </c>
    </row>
    <row r="11" spans="1:8" ht="11.55" customHeight="1" thickBot="1" x14ac:dyDescent="0.3"/>
    <row r="12" spans="1:8" ht="24.45" customHeight="1" thickBot="1" x14ac:dyDescent="0.3">
      <c r="A12" s="4" t="s">
        <v>16</v>
      </c>
      <c r="B12" s="36"/>
      <c r="C12" s="34"/>
      <c r="D12" s="38"/>
      <c r="E12" s="40"/>
      <c r="G12" t="str">
        <f>IF(C12=2,"L","")</f>
        <v/>
      </c>
      <c r="H12" t="str">
        <f>IF(D12=2,"W","")</f>
        <v/>
      </c>
    </row>
    <row r="13" spans="1:8" ht="24.45" customHeight="1" thickBot="1" x14ac:dyDescent="0.3">
      <c r="A13" s="4" t="s">
        <v>17</v>
      </c>
      <c r="B13" s="36"/>
      <c r="C13" s="34"/>
      <c r="D13" s="38"/>
      <c r="E13" s="40"/>
      <c r="G13" t="str">
        <f t="shared" ref="G13:G17" si="2">IF(C13=2,"L","")</f>
        <v/>
      </c>
      <c r="H13" t="str">
        <f t="shared" ref="H13:H17" si="3">IF(D13=2,"W","")</f>
        <v/>
      </c>
    </row>
    <row r="14" spans="1:8" ht="24.45" customHeight="1" thickBot="1" x14ac:dyDescent="0.3">
      <c r="A14" s="4" t="s">
        <v>18</v>
      </c>
      <c r="B14" s="36"/>
      <c r="C14" s="34"/>
      <c r="D14" s="38"/>
      <c r="E14" s="40"/>
      <c r="G14" t="str">
        <f t="shared" si="2"/>
        <v/>
      </c>
      <c r="H14" t="str">
        <f t="shared" si="3"/>
        <v/>
      </c>
    </row>
    <row r="15" spans="1:8" ht="24.45" customHeight="1" thickBot="1" x14ac:dyDescent="0.3">
      <c r="A15" s="4" t="s">
        <v>19</v>
      </c>
      <c r="B15" s="36"/>
      <c r="C15" s="34"/>
      <c r="D15" s="38"/>
      <c r="E15" s="40"/>
      <c r="G15" t="str">
        <f t="shared" si="2"/>
        <v/>
      </c>
      <c r="H15" t="str">
        <f t="shared" si="3"/>
        <v/>
      </c>
    </row>
    <row r="16" spans="1:8" ht="24.45" customHeight="1" thickBot="1" x14ac:dyDescent="0.3">
      <c r="A16" s="4" t="s">
        <v>20</v>
      </c>
      <c r="B16" s="36"/>
      <c r="C16" s="34"/>
      <c r="D16" s="38"/>
      <c r="E16" s="40"/>
      <c r="G16" t="str">
        <f t="shared" si="2"/>
        <v/>
      </c>
      <c r="H16" t="str">
        <f t="shared" si="3"/>
        <v/>
      </c>
    </row>
    <row r="17" spans="1:8" ht="24.45" customHeight="1" thickBot="1" x14ac:dyDescent="0.3">
      <c r="A17" s="4" t="s">
        <v>21</v>
      </c>
      <c r="B17" s="37"/>
      <c r="C17" s="35"/>
      <c r="D17" s="39"/>
      <c r="E17" s="41"/>
      <c r="G17" t="str">
        <f t="shared" si="2"/>
        <v/>
      </c>
      <c r="H17" t="str">
        <f t="shared" si="3"/>
        <v/>
      </c>
    </row>
    <row r="18" spans="1:8" x14ac:dyDescent="0.25">
      <c r="C18" s="4">
        <f>COUNTIF(G3:G17,"L")</f>
        <v>0</v>
      </c>
      <c r="D18" s="4">
        <f>COUNTIF(H3:H17,"W")</f>
        <v>0</v>
      </c>
    </row>
  </sheetData>
  <sheetProtection selectLockedCells="1"/>
  <mergeCells count="8">
    <mergeCell ref="C9:C10"/>
    <mergeCell ref="D9:D10"/>
    <mergeCell ref="B1:E1"/>
    <mergeCell ref="B2:E2"/>
    <mergeCell ref="C3:C4"/>
    <mergeCell ref="D3:D4"/>
    <mergeCell ref="C6:C7"/>
    <mergeCell ref="D6:D7"/>
  </mergeCells>
  <dataValidations count="3">
    <dataValidation allowBlank="1" showInputMessage="1" showErrorMessage="1" sqref="C6:D7 C9:D10 C12:D17" xr:uid="{0E675512-0F76-43DC-AD5C-2F5E07F16B9F}"/>
    <dataValidation type="list" allowBlank="1" showInputMessage="1" showErrorMessage="1" sqref="E12:E17 E3:E4 E6:E7 E9:E10" xr:uid="{F289E377-BDEB-4C55-BCEC-26586903E212}">
      <formula1>PlayerName</formula1>
    </dataValidation>
    <dataValidation type="textLength" allowBlank="1" showInputMessage="1" showErrorMessage="1" promptTitle="No Entry" prompt="Erroneous entry" sqref="B3:B4 B6:B7 B9:B10 B12:B17" xr:uid="{27E3A052-C13C-4ACD-99B0-B92E77D54762}">
      <formula1>0</formula1>
      <formula2>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bmitScores">
                <anchor moveWithCells="1" sizeWithCells="1">
                  <from>
                    <xdr:col>1</xdr:col>
                    <xdr:colOff>1009291</xdr:colOff>
                    <xdr:row>19</xdr:row>
                    <xdr:rowOff>8626</xdr:rowOff>
                  </from>
                  <to>
                    <xdr:col>3</xdr:col>
                    <xdr:colOff>646981</xdr:colOff>
                    <xdr:row>21</xdr:row>
                    <xdr:rowOff>8626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GoToNavigation">
                <anchor moveWithCells="1" sizeWithCells="1">
                  <from>
                    <xdr:col>5</xdr:col>
                    <xdr:colOff>431321</xdr:colOff>
                    <xdr:row>0</xdr:row>
                    <xdr:rowOff>103517</xdr:rowOff>
                  </from>
                  <to>
                    <xdr:col>8</xdr:col>
                    <xdr:colOff>198408</xdr:colOff>
                    <xdr:row>0</xdr:row>
                    <xdr:rowOff>353683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184CF-47F1-4842-B975-A2CB269C03A4}">
  <sheetPr codeName="HomeGame"/>
  <dimension ref="A1:H18"/>
  <sheetViews>
    <sheetView workbookViewId="0">
      <selection activeCell="F4" sqref="F4"/>
    </sheetView>
  </sheetViews>
  <sheetFormatPr defaultRowHeight="14.3" x14ac:dyDescent="0.25"/>
  <cols>
    <col min="1" max="1" width="16.25" style="5" customWidth="1"/>
    <col min="2" max="2" width="22" customWidth="1"/>
    <col min="3" max="4" width="11.25" customWidth="1"/>
    <col min="5" max="5" width="22" customWidth="1"/>
  </cols>
  <sheetData>
    <row r="1" spans="1:8" ht="38.75" customHeight="1" thickTop="1" thickBot="1" x14ac:dyDescent="0.3">
      <c r="A1" s="3" t="s">
        <v>22</v>
      </c>
      <c r="B1" s="69" t="s">
        <v>29</v>
      </c>
      <c r="C1" s="70"/>
      <c r="D1" s="70"/>
      <c r="E1" s="71"/>
    </row>
    <row r="2" spans="1:8" ht="15.65" customHeight="1" thickTop="1" thickBot="1" x14ac:dyDescent="0.3">
      <c r="A2"/>
      <c r="B2" s="83" t="s">
        <v>82</v>
      </c>
      <c r="C2" s="83"/>
      <c r="D2" s="83"/>
      <c r="E2" s="83"/>
    </row>
    <row r="3" spans="1:8" ht="24.45" customHeight="1" x14ac:dyDescent="0.25">
      <c r="A3" s="4" t="s">
        <v>13</v>
      </c>
      <c r="B3" s="17"/>
      <c r="C3" s="81"/>
      <c r="D3" s="81"/>
      <c r="E3" s="19"/>
    </row>
    <row r="4" spans="1:8" ht="24.45" customHeight="1" thickBot="1" x14ac:dyDescent="0.3">
      <c r="A4" s="4"/>
      <c r="B4" s="18"/>
      <c r="C4" s="82"/>
      <c r="D4" s="82"/>
      <c r="E4" s="20"/>
      <c r="G4" t="str">
        <f>IF(C3=2,"W","")</f>
        <v/>
      </c>
      <c r="H4" t="str">
        <f>IF(D3=2,"L","")</f>
        <v/>
      </c>
    </row>
    <row r="5" spans="1:8" ht="11.55" customHeight="1" thickBot="1" x14ac:dyDescent="0.3">
      <c r="H5" t="str">
        <f t="shared" ref="H5:H11" si="0">IF(D4=2,"L","")</f>
        <v/>
      </c>
    </row>
    <row r="6" spans="1:8" ht="24.45" customHeight="1" x14ac:dyDescent="0.25">
      <c r="A6" s="4" t="s">
        <v>14</v>
      </c>
      <c r="B6" s="17"/>
      <c r="C6" s="81"/>
      <c r="D6" s="81"/>
      <c r="E6" s="19"/>
      <c r="G6" t="str">
        <f t="shared" ref="G6:G9" si="1">IF(C5=2,"W","")</f>
        <v/>
      </c>
      <c r="H6" t="str">
        <f t="shared" si="0"/>
        <v/>
      </c>
    </row>
    <row r="7" spans="1:8" ht="24.45" customHeight="1" thickBot="1" x14ac:dyDescent="0.3">
      <c r="A7" s="4"/>
      <c r="B7" s="18"/>
      <c r="C7" s="82"/>
      <c r="D7" s="82"/>
      <c r="E7" s="20"/>
      <c r="G7" t="str">
        <f>IF(C6=2,"W","")</f>
        <v/>
      </c>
      <c r="H7" t="str">
        <f>IF(D6=2,"L","")</f>
        <v/>
      </c>
    </row>
    <row r="8" spans="1:8" ht="11.55" customHeight="1" thickBot="1" x14ac:dyDescent="0.3">
      <c r="H8" t="str">
        <f t="shared" si="0"/>
        <v/>
      </c>
    </row>
    <row r="9" spans="1:8" ht="24.45" customHeight="1" x14ac:dyDescent="0.25">
      <c r="A9" s="4" t="s">
        <v>15</v>
      </c>
      <c r="B9" s="17"/>
      <c r="C9" s="81"/>
      <c r="D9" s="81"/>
      <c r="E9" s="19"/>
      <c r="G9" t="str">
        <f t="shared" si="1"/>
        <v/>
      </c>
      <c r="H9" t="str">
        <f t="shared" si="0"/>
        <v/>
      </c>
    </row>
    <row r="10" spans="1:8" ht="24.45" customHeight="1" thickBot="1" x14ac:dyDescent="0.3">
      <c r="A10" s="4"/>
      <c r="B10" s="18"/>
      <c r="C10" s="82"/>
      <c r="D10" s="82"/>
      <c r="E10" s="20"/>
      <c r="G10" t="str">
        <f>IF(C9=2,"W","")</f>
        <v/>
      </c>
      <c r="H10" t="str">
        <f t="shared" si="0"/>
        <v/>
      </c>
    </row>
    <row r="11" spans="1:8" ht="11.55" customHeight="1" thickBot="1" x14ac:dyDescent="0.3">
      <c r="H11" t="str">
        <f t="shared" si="0"/>
        <v/>
      </c>
    </row>
    <row r="12" spans="1:8" ht="24.45" customHeight="1" thickBot="1" x14ac:dyDescent="0.3">
      <c r="A12" s="4" t="s">
        <v>16</v>
      </c>
      <c r="B12" s="26"/>
      <c r="C12" s="27"/>
      <c r="D12" s="28"/>
      <c r="E12" s="29"/>
      <c r="G12" t="str">
        <f>IF(C12=2,"W","")</f>
        <v/>
      </c>
      <c r="H12" t="str">
        <f>IF(D12=2,"L","")</f>
        <v/>
      </c>
    </row>
    <row r="13" spans="1:8" ht="24.45" customHeight="1" thickBot="1" x14ac:dyDescent="0.3">
      <c r="A13" s="4" t="s">
        <v>17</v>
      </c>
      <c r="B13" s="26"/>
      <c r="C13" s="27"/>
      <c r="D13" s="28"/>
      <c r="E13" s="29"/>
      <c r="G13" t="str">
        <f t="shared" ref="G13:G17" si="2">IF(C13=2,"W","")</f>
        <v/>
      </c>
      <c r="H13" t="str">
        <f t="shared" ref="H13:H17" si="3">IF(D13=2,"L","")</f>
        <v/>
      </c>
    </row>
    <row r="14" spans="1:8" ht="24.45" customHeight="1" thickBot="1" x14ac:dyDescent="0.3">
      <c r="A14" s="4" t="s">
        <v>18</v>
      </c>
      <c r="B14" s="26"/>
      <c r="C14" s="27"/>
      <c r="D14" s="28"/>
      <c r="E14" s="29"/>
      <c r="G14" t="str">
        <f t="shared" si="2"/>
        <v/>
      </c>
      <c r="H14" t="str">
        <f t="shared" si="3"/>
        <v/>
      </c>
    </row>
    <row r="15" spans="1:8" ht="24.45" customHeight="1" thickBot="1" x14ac:dyDescent="0.3">
      <c r="A15" s="4" t="s">
        <v>19</v>
      </c>
      <c r="B15" s="26"/>
      <c r="C15" s="27"/>
      <c r="D15" s="28"/>
      <c r="E15" s="29"/>
      <c r="G15" t="str">
        <f t="shared" si="2"/>
        <v/>
      </c>
      <c r="H15" t="str">
        <f t="shared" si="3"/>
        <v/>
      </c>
    </row>
    <row r="16" spans="1:8" ht="24.45" customHeight="1" thickBot="1" x14ac:dyDescent="0.3">
      <c r="A16" s="4" t="s">
        <v>20</v>
      </c>
      <c r="B16" s="26"/>
      <c r="C16" s="27"/>
      <c r="D16" s="28"/>
      <c r="E16" s="29"/>
      <c r="G16" t="str">
        <f t="shared" si="2"/>
        <v/>
      </c>
      <c r="H16" t="str">
        <f t="shared" si="3"/>
        <v/>
      </c>
    </row>
    <row r="17" spans="1:8" ht="24.45" customHeight="1" thickBot="1" x14ac:dyDescent="0.3">
      <c r="A17" s="4" t="s">
        <v>21</v>
      </c>
      <c r="B17" s="26"/>
      <c r="C17" s="27"/>
      <c r="D17" s="28"/>
      <c r="E17" s="29"/>
      <c r="G17" t="str">
        <f t="shared" si="2"/>
        <v/>
      </c>
      <c r="H17" t="str">
        <f t="shared" si="3"/>
        <v/>
      </c>
    </row>
    <row r="18" spans="1:8" x14ac:dyDescent="0.25">
      <c r="C18" s="4">
        <f>COUNTIF(G3:G17,"W")</f>
        <v>0</v>
      </c>
      <c r="D18" s="4">
        <f>COUNTIF(H3:H17,"L")</f>
        <v>0</v>
      </c>
    </row>
  </sheetData>
  <mergeCells count="8">
    <mergeCell ref="C9:C10"/>
    <mergeCell ref="D9:D10"/>
    <mergeCell ref="B1:E1"/>
    <mergeCell ref="C3:C4"/>
    <mergeCell ref="D3:D4"/>
    <mergeCell ref="C6:C7"/>
    <mergeCell ref="D6:D7"/>
    <mergeCell ref="B2:E2"/>
  </mergeCells>
  <dataValidations count="3">
    <dataValidation type="list" allowBlank="1" showInputMessage="1" showErrorMessage="1" sqref="B3:B4 B6:B7 B9:B10 B12:B17" xr:uid="{E242F439-F129-4516-BA7F-B96EC77D05AB}">
      <formula1>PlayerName</formula1>
    </dataValidation>
    <dataValidation allowBlank="1" showInputMessage="1" showErrorMessage="1" sqref="C6:D7 C9:D10 C12:D17" xr:uid="{60807C74-0539-4B95-A9F5-F4DA367E140C}"/>
    <dataValidation type="textLength" allowBlank="1" showInputMessage="1" showErrorMessage="1" promptTitle="No Entry" prompt="Erroneous entry" sqref="E3:E4 E6:E7 E9:E10 E12:E17" xr:uid="{842B8CF5-A348-44C2-B6AE-922213EBBB86}">
      <formula1>0</formula1>
      <formula2>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SubmitScores">
                <anchor moveWithCells="1" sizeWithCells="1">
                  <from>
                    <xdr:col>1</xdr:col>
                    <xdr:colOff>1112808</xdr:colOff>
                    <xdr:row>19</xdr:row>
                    <xdr:rowOff>86264</xdr:rowOff>
                  </from>
                  <to>
                    <xdr:col>3</xdr:col>
                    <xdr:colOff>750498</xdr:colOff>
                    <xdr:row>21</xdr:row>
                    <xdr:rowOff>86264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GoToNavigation">
                <anchor moveWithCells="1" sizeWithCells="1">
                  <from>
                    <xdr:col>5</xdr:col>
                    <xdr:colOff>388189</xdr:colOff>
                    <xdr:row>0</xdr:row>
                    <xdr:rowOff>112143</xdr:rowOff>
                  </from>
                  <to>
                    <xdr:col>8</xdr:col>
                    <xdr:colOff>155275</xdr:colOff>
                    <xdr:row>0</xdr:row>
                    <xdr:rowOff>362309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E216F-1991-4C09-9B48-A410B18CB25D}">
  <sheetPr codeName="Navigation"/>
  <dimension ref="E3:J28"/>
  <sheetViews>
    <sheetView workbookViewId="0">
      <selection activeCell="E8" sqref="E8"/>
    </sheetView>
  </sheetViews>
  <sheetFormatPr defaultRowHeight="14.3" x14ac:dyDescent="0.25"/>
  <sheetData>
    <row r="3" spans="5:9" x14ac:dyDescent="0.25">
      <c r="E3" s="45" t="s">
        <v>32</v>
      </c>
      <c r="G3" t="s">
        <v>35</v>
      </c>
      <c r="I3" t="s">
        <v>36</v>
      </c>
    </row>
    <row r="4" spans="5:9" x14ac:dyDescent="0.25">
      <c r="I4" t="s">
        <v>37</v>
      </c>
    </row>
    <row r="6" spans="5:9" x14ac:dyDescent="0.25">
      <c r="E6" s="45" t="s">
        <v>44</v>
      </c>
    </row>
    <row r="8" spans="5:9" x14ac:dyDescent="0.25">
      <c r="E8" s="45" t="s">
        <v>46</v>
      </c>
    </row>
    <row r="10" spans="5:9" x14ac:dyDescent="0.25">
      <c r="E10" s="45" t="s">
        <v>45</v>
      </c>
    </row>
    <row r="11" spans="5:9" x14ac:dyDescent="0.25">
      <c r="E11" s="45"/>
    </row>
    <row r="12" spans="5:9" x14ac:dyDescent="0.25">
      <c r="E12" s="45" t="s">
        <v>100</v>
      </c>
    </row>
    <row r="14" spans="5:9" x14ac:dyDescent="0.25">
      <c r="E14" t="s">
        <v>38</v>
      </c>
    </row>
    <row r="15" spans="5:9" x14ac:dyDescent="0.25">
      <c r="F15" s="45" t="s">
        <v>83</v>
      </c>
    </row>
    <row r="16" spans="5:9" x14ac:dyDescent="0.25">
      <c r="F16" s="45" t="s">
        <v>84</v>
      </c>
    </row>
    <row r="17" spans="6:10" x14ac:dyDescent="0.25">
      <c r="F17" s="45" t="s">
        <v>85</v>
      </c>
      <c r="J17" s="63" t="s">
        <v>111</v>
      </c>
    </row>
    <row r="18" spans="6:10" x14ac:dyDescent="0.25">
      <c r="F18" s="45" t="s">
        <v>86</v>
      </c>
    </row>
    <row r="19" spans="6:10" x14ac:dyDescent="0.25">
      <c r="F19" s="45" t="s">
        <v>87</v>
      </c>
    </row>
    <row r="20" spans="6:10" x14ac:dyDescent="0.25">
      <c r="F20" s="45" t="s">
        <v>88</v>
      </c>
    </row>
    <row r="21" spans="6:10" x14ac:dyDescent="0.25">
      <c r="F21" s="45" t="s">
        <v>89</v>
      </c>
    </row>
    <row r="22" spans="6:10" x14ac:dyDescent="0.25">
      <c r="F22" s="45" t="s">
        <v>90</v>
      </c>
    </row>
    <row r="23" spans="6:10" x14ac:dyDescent="0.25">
      <c r="F23" s="45" t="s">
        <v>91</v>
      </c>
    </row>
    <row r="24" spans="6:10" x14ac:dyDescent="0.25">
      <c r="F24" s="45" t="s">
        <v>92</v>
      </c>
    </row>
    <row r="25" spans="6:10" x14ac:dyDescent="0.25">
      <c r="F25" s="45" t="s">
        <v>93</v>
      </c>
    </row>
    <row r="26" spans="6:10" x14ac:dyDescent="0.25">
      <c r="F26" s="45" t="s">
        <v>94</v>
      </c>
    </row>
    <row r="27" spans="6:10" x14ac:dyDescent="0.25">
      <c r="F27" s="45" t="s">
        <v>95</v>
      </c>
    </row>
    <row r="28" spans="6:10" x14ac:dyDescent="0.25">
      <c r="F28" s="45" t="s">
        <v>96</v>
      </c>
    </row>
  </sheetData>
  <hyperlinks>
    <hyperlink ref="E3" location="Admin!A1" display="Admin" xr:uid="{F7621661-9630-4F8C-8619-593D61584F38}"/>
    <hyperlink ref="E6" location="'Player Wins-Losses'!A1" display="Player Wins-Losses" xr:uid="{B4EDF8F5-3106-46A0-AFF2-E393FEB088B7}"/>
    <hyperlink ref="E8" location="Reporter!A1" display="Reporter" xr:uid="{8D38F6EA-9666-4323-8036-4095E033C175}"/>
    <hyperlink ref="E10" location="Scores!A1" display="Scores" xr:uid="{CF691A54-C41E-41D4-B305-CCFD85E8AC50}"/>
    <hyperlink ref="F15" location="'20-01-2025 - Fulflood A'!A1" display="20-01-2025 - Fulflood A" xr:uid="{DFDCE05F-32AB-4EDF-AD90-BAABF67EE175}"/>
    <hyperlink ref="F16" location="'27-01-2025 - Coach &amp; Horses'!A1" display="27-01-2025 - Coach &amp; Horses" xr:uid="{ACA74B2F-F24A-41C2-9B13-B346E9157C92}"/>
    <hyperlink ref="F17" location="'03-02-2025 - Weeke A'!A1" display="03-02-2025 - Weeke A" xr:uid="{75347931-38F6-4CE5-8277-90D3F026B546}"/>
    <hyperlink ref="F18" location="'17-02-2025 - Sportsmans Misfits'!A1" display="17-02-2025 - Sportsmans Misfits" xr:uid="{C5292A72-5394-4115-A2CB-DDB8662497CF}"/>
    <hyperlink ref="F19" location="'10-03-2025 - Worthies'!A1" display="10-03-2025 - Worthies" xr:uid="{3BFFCCDA-5371-4F2A-8F72-5784654889D0}"/>
    <hyperlink ref="F20" location="'24-03-2025 - Weeke B'!A1" display="24-03-2025 - Weeke B" xr:uid="{FE6F6AC9-2BC9-44EB-84B8-D1E0ADDBC4AC}"/>
    <hyperlink ref="F21" location="'31-03-2025 - Weeke Wintonians'!A1" display="31-03-2025 - Weeke Wintonians" xr:uid="{A6B7A441-87CE-4802-B199-5173CE0F6F35}"/>
    <hyperlink ref="F22" location="'14-04-2025 - Fulflood A'!A1" display="14-04-2025 - Fulflood A" xr:uid="{9BBE7B4F-A2FB-4D68-B5B3-4C59AE9E7D82}"/>
    <hyperlink ref="F23" location="'21-04-2025 - Coach &amp; Horses'!A1" display="21-04-2025 - Coach &amp; Horses" xr:uid="{83068B31-AA88-422C-80C0-279809E2CA64}"/>
    <hyperlink ref="F24" location="'28-04-2025 - Weeke A'!A1" display="28-04-2025 - Weeke A" xr:uid="{F9599A81-014D-4E79-907B-5ADF5CF3F6B2}"/>
    <hyperlink ref="F25" location="'19-05-2025 - Sportsmans Misfits'!A1" display="19-05-2025 - Sportsmans Misfits" xr:uid="{DB18BEF1-A8F8-4595-B88B-BA50615B6A79}"/>
    <hyperlink ref="F26" location="'02-06-2025 - Worthies'!A1" display="02-06-2025 - Worthies" xr:uid="{5A3F1CE6-3E1B-4544-B3A9-811EFEFB4577}"/>
    <hyperlink ref="F27" location="'16-06-2025 - Weeke B'!A1" display="16-06-2025 - Weeke B" xr:uid="{A1105FB2-19FC-4C6E-9450-86D9A5FF5D96}"/>
    <hyperlink ref="F28" location="'30-06-2025 - Weeke Wintonians'!A1" display="30-06-2025 - Weeke Wintonians" xr:uid="{D1C1518F-2D34-4EF8-922E-B5392EBE1C3C}"/>
    <hyperlink ref="E12" location="Pairings!A1" display="Pairings" xr:uid="{86DC5593-19E8-4D72-97BF-D11234372EDE}"/>
    <hyperlink ref="J17" location="Navigation!A1" display="10-02-2025 - Team Knockout" xr:uid="{EBDC110C-F75C-4AD1-8730-C4C5491365BC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10708-0C4F-4A5D-9B9A-2300DE463E64}">
  <sheetPr codeName="Reporter"/>
  <dimension ref="A1:P16"/>
  <sheetViews>
    <sheetView tabSelected="1" workbookViewId="0">
      <selection activeCell="K19" sqref="K19"/>
    </sheetView>
  </sheetViews>
  <sheetFormatPr defaultColWidth="12.25" defaultRowHeight="14.3" x14ac:dyDescent="0.25"/>
  <cols>
    <col min="1" max="1" width="6.875" style="62" customWidth="1"/>
    <col min="2" max="3" width="5.25" customWidth="1"/>
    <col min="4" max="5" width="5.25" style="44" customWidth="1"/>
    <col min="6" max="6" width="5.25" customWidth="1"/>
    <col min="7" max="8" width="5.25" style="44" customWidth="1"/>
    <col min="9" max="9" width="5.25" customWidth="1"/>
    <col min="10" max="10" width="5.25" style="44" customWidth="1"/>
    <col min="11" max="11" width="12.25" style="44"/>
    <col min="12" max="12" width="9.5" style="62" customWidth="1"/>
    <col min="13" max="16" width="7.875" customWidth="1"/>
  </cols>
  <sheetData>
    <row r="1" spans="1:16" ht="20.399999999999999" thickTop="1" thickBot="1" x14ac:dyDescent="0.3">
      <c r="A1" s="84" t="s">
        <v>86</v>
      </c>
      <c r="B1" s="85"/>
      <c r="C1" s="85"/>
      <c r="D1" s="86"/>
      <c r="E1" s="84"/>
      <c r="F1" s="84"/>
      <c r="G1" s="84"/>
      <c r="H1" s="84"/>
      <c r="I1" s="84"/>
      <c r="J1" s="84"/>
      <c r="K1"/>
      <c r="L1"/>
    </row>
    <row r="2" spans="1:16" ht="14.95" thickTop="1" x14ac:dyDescent="0.25">
      <c r="A2" s="15" t="s">
        <v>8</v>
      </c>
      <c r="B2" s="64" t="s">
        <v>23</v>
      </c>
      <c r="C2" s="65"/>
      <c r="D2" s="66"/>
      <c r="E2" s="67" t="s">
        <v>26</v>
      </c>
      <c r="F2" s="65"/>
      <c r="G2" s="66"/>
      <c r="H2" s="65" t="s">
        <v>27</v>
      </c>
      <c r="I2" s="65"/>
      <c r="J2" s="68"/>
      <c r="K2"/>
      <c r="L2"/>
    </row>
    <row r="3" spans="1:16" x14ac:dyDescent="0.25">
      <c r="A3" s="21" t="s">
        <v>52</v>
      </c>
      <c r="B3" s="16" t="s">
        <v>24</v>
      </c>
      <c r="C3" s="16" t="s">
        <v>25</v>
      </c>
      <c r="D3" s="42" t="s">
        <v>28</v>
      </c>
      <c r="E3" s="16" t="s">
        <v>24</v>
      </c>
      <c r="F3" s="16" t="s">
        <v>25</v>
      </c>
      <c r="G3" s="42" t="s">
        <v>28</v>
      </c>
      <c r="H3" s="16" t="s">
        <v>24</v>
      </c>
      <c r="I3" s="16" t="s">
        <v>25</v>
      </c>
      <c r="J3" s="42" t="s">
        <v>28</v>
      </c>
      <c r="K3"/>
      <c r="L3" s="2" t="s">
        <v>8</v>
      </c>
      <c r="M3" s="6" t="s">
        <v>9</v>
      </c>
      <c r="N3" s="6" t="s">
        <v>10</v>
      </c>
      <c r="O3" s="6" t="s">
        <v>11</v>
      </c>
      <c r="P3" s="7" t="s">
        <v>12</v>
      </c>
    </row>
    <row r="4" spans="1:16" x14ac:dyDescent="0.25">
      <c r="A4" s="21" t="s">
        <v>66</v>
      </c>
      <c r="B4" s="16">
        <v>3</v>
      </c>
      <c r="C4" s="16">
        <v>1</v>
      </c>
      <c r="D4" s="42">
        <f>IF(DP_Callum,DW_Callum / DP_Callum,"")</f>
        <v>0.33333333333333331</v>
      </c>
      <c r="E4" s="16">
        <v>2</v>
      </c>
      <c r="F4" s="16">
        <v>2</v>
      </c>
      <c r="G4" s="42">
        <f>IF(SP_Callum,SW_Callum / SP_Callum,"")</f>
        <v>1</v>
      </c>
      <c r="H4" s="16">
        <f>DP_Callum + SP_Callum</f>
        <v>5</v>
      </c>
      <c r="I4" s="16">
        <f>DW_Callum + SW_Callum</f>
        <v>3</v>
      </c>
      <c r="J4" s="42">
        <f>IF(OP_Callum,OW_Callum / OP_Callum,"")</f>
        <v>0.6</v>
      </c>
      <c r="K4"/>
      <c r="L4" s="2" t="s">
        <v>66</v>
      </c>
      <c r="M4" s="2"/>
      <c r="N4" s="2">
        <v>3</v>
      </c>
      <c r="O4" s="2">
        <v>1</v>
      </c>
      <c r="P4" s="2"/>
    </row>
    <row r="5" spans="1:16" x14ac:dyDescent="0.25">
      <c r="A5" s="21" t="s">
        <v>73</v>
      </c>
      <c r="B5" s="16">
        <v>4</v>
      </c>
      <c r="C5" s="16">
        <v>2</v>
      </c>
      <c r="D5" s="42">
        <f>IF(DP_Neil,DW_Neil / DP_Neil,"")</f>
        <v>0.5</v>
      </c>
      <c r="E5" s="16">
        <v>4</v>
      </c>
      <c r="F5" s="16">
        <v>2</v>
      </c>
      <c r="G5" s="42">
        <f>IF(SP_Neil,SW_Neil / SP_Neil,"")</f>
        <v>0.5</v>
      </c>
      <c r="H5" s="16">
        <f>DP_Neil + SP_Neil</f>
        <v>8</v>
      </c>
      <c r="I5" s="16">
        <f>DW_Neil + SW_Neil</f>
        <v>4</v>
      </c>
      <c r="J5" s="42">
        <f>IF(OP_Neil,OW_Neil / OP_Neil,"")</f>
        <v>0.5</v>
      </c>
      <c r="K5"/>
      <c r="L5" s="2" t="s">
        <v>73</v>
      </c>
      <c r="M5" s="2"/>
      <c r="N5" s="2">
        <v>5</v>
      </c>
      <c r="O5" s="2"/>
      <c r="P5" s="2"/>
    </row>
    <row r="6" spans="1:16" x14ac:dyDescent="0.25">
      <c r="A6" s="21" t="s">
        <v>75</v>
      </c>
      <c r="B6" s="16">
        <v>2</v>
      </c>
      <c r="C6" s="16"/>
      <c r="D6" s="42">
        <f>IF(DP_Brian,DW_Brian / DP_Brian,"")</f>
        <v>0</v>
      </c>
      <c r="E6" s="16">
        <v>3</v>
      </c>
      <c r="F6" s="16">
        <v>1</v>
      </c>
      <c r="G6" s="42">
        <f>IF(SP_Brian,SW_Brian / SP_Brian,"")</f>
        <v>0.33333333333333331</v>
      </c>
      <c r="H6" s="16">
        <f>DP_Brian + SP_Brian</f>
        <v>5</v>
      </c>
      <c r="I6" s="16">
        <f>DW_Brian + SW_Brian</f>
        <v>1</v>
      </c>
      <c r="J6" s="42">
        <f>IF(OP_Brian,OW_Brian / OP_Brian,"")</f>
        <v>0.2</v>
      </c>
      <c r="K6"/>
      <c r="L6" s="2" t="s">
        <v>75</v>
      </c>
      <c r="M6" s="2"/>
      <c r="N6" s="2"/>
      <c r="O6" s="2"/>
      <c r="P6" s="2"/>
    </row>
    <row r="7" spans="1:16" x14ac:dyDescent="0.25">
      <c r="A7" s="21" t="s">
        <v>64</v>
      </c>
      <c r="B7" s="16">
        <v>3</v>
      </c>
      <c r="C7" s="16">
        <v>1</v>
      </c>
      <c r="D7" s="42">
        <f>IF(DP_Dave,DW_Dave / DP_Dave,"")</f>
        <v>0.33333333333333331</v>
      </c>
      <c r="E7" s="16">
        <v>5</v>
      </c>
      <c r="F7" s="16">
        <v>4</v>
      </c>
      <c r="G7" s="42">
        <f>IF(SP_Dave,SW_Dave / SP_Dave,"")</f>
        <v>0.8</v>
      </c>
      <c r="H7" s="16">
        <f>DP_Dave + SP_Dave</f>
        <v>8</v>
      </c>
      <c r="I7" s="16">
        <f>DW_Dave + SW_Dave</f>
        <v>5</v>
      </c>
      <c r="J7" s="42">
        <f>IF(OP_Dave,OW_Dave / OP_Dave,"")</f>
        <v>0.625</v>
      </c>
      <c r="K7"/>
      <c r="L7" s="2" t="s">
        <v>64</v>
      </c>
      <c r="M7" s="2"/>
      <c r="N7" s="2">
        <v>11</v>
      </c>
      <c r="O7" s="2"/>
      <c r="P7" s="2">
        <v>1</v>
      </c>
    </row>
    <row r="8" spans="1:16" x14ac:dyDescent="0.25">
      <c r="A8" s="21" t="s">
        <v>68</v>
      </c>
      <c r="B8" s="16">
        <v>3</v>
      </c>
      <c r="C8" s="16">
        <v>1</v>
      </c>
      <c r="D8" s="42">
        <f>IF(DP_John,DW_John / DP_John,"")</f>
        <v>0.33333333333333331</v>
      </c>
      <c r="E8" s="16">
        <v>4</v>
      </c>
      <c r="F8" s="16">
        <v>3</v>
      </c>
      <c r="G8" s="42">
        <f>IF(SP_John,SW_John / SP_John,"")</f>
        <v>0.75</v>
      </c>
      <c r="H8" s="16">
        <f>DP_John + SP_John</f>
        <v>7</v>
      </c>
      <c r="I8" s="16">
        <f>DW_John + SW_John</f>
        <v>4</v>
      </c>
      <c r="J8" s="42">
        <f>IF(OP_John,OW_John / OP_John,"")</f>
        <v>0.5714285714285714</v>
      </c>
      <c r="K8"/>
      <c r="L8" s="2" t="s">
        <v>68</v>
      </c>
      <c r="M8" s="2">
        <v>1</v>
      </c>
      <c r="N8" s="2">
        <v>15</v>
      </c>
      <c r="O8" s="2"/>
      <c r="P8" s="2"/>
    </row>
    <row r="9" spans="1:16" x14ac:dyDescent="0.25">
      <c r="A9" s="21" t="s">
        <v>77</v>
      </c>
      <c r="B9" s="16">
        <v>1</v>
      </c>
      <c r="C9" s="16">
        <v>1</v>
      </c>
      <c r="D9" s="42">
        <f>IF(DP_Jim,DW_Jim / DP_Jim,"")</f>
        <v>1</v>
      </c>
      <c r="E9" s="16">
        <v>2</v>
      </c>
      <c r="F9" s="16"/>
      <c r="G9" s="42">
        <f>IF(SP_Jim,SW_Jim / SP_Jim,"")</f>
        <v>0</v>
      </c>
      <c r="H9" s="16">
        <f>DP_Jim + SP_Jim</f>
        <v>3</v>
      </c>
      <c r="I9" s="16">
        <f>DW_Jim + SW_Jim</f>
        <v>1</v>
      </c>
      <c r="J9" s="42">
        <f>IF(OP_Jim,OW_Jim / OP_Jim,"")</f>
        <v>0.33333333333333331</v>
      </c>
      <c r="K9"/>
      <c r="L9" s="2" t="s">
        <v>77</v>
      </c>
      <c r="M9" s="2">
        <v>3</v>
      </c>
      <c r="N9" s="2">
        <v>1</v>
      </c>
      <c r="O9" s="2"/>
      <c r="P9" s="2"/>
    </row>
    <row r="10" spans="1:16" x14ac:dyDescent="0.25">
      <c r="A10" s="21" t="s">
        <v>102</v>
      </c>
      <c r="B10" s="16">
        <v>4</v>
      </c>
      <c r="C10" s="16">
        <v>1</v>
      </c>
      <c r="D10" s="42">
        <f>IF(DP_Adam,DW_Adam / DP_Adam,"")</f>
        <v>0.25</v>
      </c>
      <c r="E10" s="16">
        <v>1</v>
      </c>
      <c r="F10" s="16"/>
      <c r="G10" s="42">
        <f>IF(SP_Adam,SW_Adam / SP_Adam,"")</f>
        <v>0</v>
      </c>
      <c r="H10" s="16">
        <f>DP_Adam + SP_Adam</f>
        <v>5</v>
      </c>
      <c r="I10" s="16">
        <f>DW_Adam + SW_Adam</f>
        <v>1</v>
      </c>
      <c r="J10" s="42">
        <f>IF(OP_Adam,OW_Adam / OP_Adam,"")</f>
        <v>0.2</v>
      </c>
      <c r="K10"/>
      <c r="L10" s="2" t="s">
        <v>102</v>
      </c>
      <c r="M10" s="2">
        <v>4</v>
      </c>
      <c r="N10" s="2"/>
      <c r="O10" s="2"/>
      <c r="P10" s="2"/>
    </row>
    <row r="11" spans="1:16" x14ac:dyDescent="0.25">
      <c r="A11" s="21" t="s">
        <v>79</v>
      </c>
      <c r="B11" s="16">
        <v>1</v>
      </c>
      <c r="C11" s="16">
        <v>1</v>
      </c>
      <c r="D11" s="42">
        <f>IF(DP_Scott,DW_Scott / DP_Scott,"")</f>
        <v>1</v>
      </c>
      <c r="E11" s="16">
        <v>1</v>
      </c>
      <c r="F11" s="16">
        <v>1</v>
      </c>
      <c r="G11" s="42">
        <f>IF(SP_Scott,SW_Scott / SP_Scott,"")</f>
        <v>1</v>
      </c>
      <c r="H11" s="16">
        <f>DP_Scott + SP_Scott</f>
        <v>2</v>
      </c>
      <c r="I11" s="16">
        <f>DW_Scott + SW_Scott</f>
        <v>2</v>
      </c>
      <c r="J11" s="42">
        <f>IF(OP_Scott,OW_Scott / OP_Scott,"")</f>
        <v>1</v>
      </c>
      <c r="K11"/>
      <c r="L11" s="2" t="s">
        <v>79</v>
      </c>
      <c r="M11" s="2"/>
      <c r="N11" s="2">
        <v>2</v>
      </c>
      <c r="O11" s="2"/>
      <c r="P11" s="2"/>
    </row>
    <row r="12" spans="1:16" x14ac:dyDescent="0.25">
      <c r="A12" s="21" t="s">
        <v>104</v>
      </c>
      <c r="B12" s="16">
        <v>3</v>
      </c>
      <c r="C12" s="16">
        <v>1</v>
      </c>
      <c r="D12" s="42">
        <f>IF(DP_Keith,DW_Keith / DP_Keith,"")</f>
        <v>0.33333333333333331</v>
      </c>
      <c r="E12" s="16">
        <v>2</v>
      </c>
      <c r="F12" s="16"/>
      <c r="G12" s="42">
        <f>IF(SP_Keith,SW_Keith / SP_Keith,"")</f>
        <v>0</v>
      </c>
      <c r="H12" s="16">
        <f>DP_Keith + SP_Keith</f>
        <v>5</v>
      </c>
      <c r="I12" s="16">
        <f>DW_Keith + SW_Keith</f>
        <v>1</v>
      </c>
      <c r="J12" s="42">
        <f>IF(OP_Keith,OW_Keith / OP_Keith,"")</f>
        <v>0.2</v>
      </c>
      <c r="K12"/>
      <c r="L12" s="2" t="s">
        <v>104</v>
      </c>
      <c r="M12" s="2">
        <v>3</v>
      </c>
      <c r="N12" s="2"/>
      <c r="O12" s="2"/>
      <c r="P12" s="2"/>
    </row>
    <row r="13" spans="1:16" x14ac:dyDescent="0.25">
      <c r="A13" s="21" t="s">
        <v>71</v>
      </c>
      <c r="B13" s="16">
        <v>3</v>
      </c>
      <c r="C13" s="16">
        <v>1</v>
      </c>
      <c r="D13" s="42">
        <f>IF(DP_Mark,DW_Mark / DP_Mark,"")</f>
        <v>0.33333333333333331</v>
      </c>
      <c r="E13" s="16">
        <v>3</v>
      </c>
      <c r="F13" s="16">
        <v>1</v>
      </c>
      <c r="G13" s="42">
        <f>IF(SP_Mark,SW_Mark / SP_Mark,"")</f>
        <v>0.33333333333333331</v>
      </c>
      <c r="H13" s="16">
        <f>DP_Mark + SP_Mark</f>
        <v>6</v>
      </c>
      <c r="I13" s="16">
        <f>DW_Mark + SW_Mark</f>
        <v>2</v>
      </c>
      <c r="J13" s="42">
        <f>IF(OP_Mark,OW_Mark / OP_Mark,"")</f>
        <v>0.33333333333333331</v>
      </c>
      <c r="K13"/>
      <c r="L13" s="2" t="s">
        <v>71</v>
      </c>
      <c r="M13" s="2">
        <v>3</v>
      </c>
      <c r="N13" s="2">
        <v>7</v>
      </c>
      <c r="O13" s="2">
        <v>1</v>
      </c>
      <c r="P13" s="2"/>
    </row>
    <row r="14" spans="1:16" x14ac:dyDescent="0.25">
      <c r="A14" s="21" t="s">
        <v>106</v>
      </c>
      <c r="B14" s="16">
        <v>2</v>
      </c>
      <c r="C14" s="16"/>
      <c r="D14" s="42">
        <f>IF(DP_DanC,DW_DanC / DP_DanC,"")</f>
        <v>0</v>
      </c>
      <c r="E14" s="16">
        <v>2</v>
      </c>
      <c r="F14" s="16">
        <v>2</v>
      </c>
      <c r="G14" s="42">
        <f>IF(SP_DanC,SW_DanC / SP_DanC,"")</f>
        <v>1</v>
      </c>
      <c r="H14" s="16">
        <f>DP_DanC + SP_DanC</f>
        <v>4</v>
      </c>
      <c r="I14" s="16">
        <f>DW_DanC + SW_DanC</f>
        <v>2</v>
      </c>
      <c r="J14" s="42">
        <f>IF(OP_DanC,OW_DanC / OP_DanC,"")</f>
        <v>0.5</v>
      </c>
      <c r="K14"/>
      <c r="L14" s="2" t="s">
        <v>106</v>
      </c>
      <c r="M14" s="2">
        <v>2</v>
      </c>
      <c r="N14" s="2">
        <v>1</v>
      </c>
      <c r="O14" s="2"/>
      <c r="P14" s="2"/>
    </row>
    <row r="15" spans="1:16" x14ac:dyDescent="0.25">
      <c r="A15" s="21" t="s">
        <v>65</v>
      </c>
      <c r="B15" s="16">
        <v>1</v>
      </c>
      <c r="C15" s="16"/>
      <c r="D15" s="42">
        <f>IF(DP_Les,DW_Les / DP_Les,"")</f>
        <v>0</v>
      </c>
      <c r="E15" s="16">
        <v>1</v>
      </c>
      <c r="F15" s="16"/>
      <c r="G15" s="42">
        <f>IF(SP_Les,SW_Les / SP_Les,"")</f>
        <v>0</v>
      </c>
      <c r="H15" s="16">
        <f>DP_Les + SP_Les</f>
        <v>2</v>
      </c>
      <c r="I15" s="16">
        <f>DW_Les + SW_Les</f>
        <v>0</v>
      </c>
      <c r="J15" s="42">
        <f>IF(OP_Les,OW_Les / OP_Les,"")</f>
        <v>0</v>
      </c>
      <c r="K15"/>
      <c r="L15" s="2" t="s">
        <v>65</v>
      </c>
      <c r="M15" s="2"/>
      <c r="N15" s="2"/>
      <c r="O15" s="2"/>
      <c r="P15" s="2"/>
    </row>
    <row r="16" spans="1:16" x14ac:dyDescent="0.25">
      <c r="A16" s="21" t="s">
        <v>109</v>
      </c>
      <c r="B16" s="16"/>
      <c r="C16" s="16"/>
      <c r="D16" s="42" t="str">
        <f>IF(DP_DanH,DW_DanH / DP_DanH,"")</f>
        <v/>
      </c>
      <c r="E16" s="16"/>
      <c r="F16" s="16"/>
      <c r="G16" s="42" t="str">
        <f>IF(SP_DanH,SW_DanH / SP_DanH,"")</f>
        <v/>
      </c>
      <c r="H16" s="16">
        <f>DP_DanH + SP_DanH</f>
        <v>0</v>
      </c>
      <c r="I16" s="16">
        <f>DW_DanH + SW_DanH</f>
        <v>0</v>
      </c>
      <c r="J16" s="42" t="str">
        <f>IF(OP_DanH,OW_DanH / OP_DanH,"")</f>
        <v/>
      </c>
      <c r="K16"/>
      <c r="L16" s="2" t="s">
        <v>109</v>
      </c>
      <c r="M16" s="2"/>
      <c r="N16" s="2"/>
      <c r="O16" s="2"/>
      <c r="P16" s="2"/>
    </row>
  </sheetData>
  <mergeCells count="3">
    <mergeCell ref="B2:D2"/>
    <mergeCell ref="E2:G2"/>
    <mergeCell ref="H2:J2"/>
  </mergeCells>
  <pageMargins left="0.7" right="0.7" top="0.75" bottom="0.75" header="0.3" footer="0.3"/>
  <pageSetup paperSize="9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GoToNavigation">
                <anchor moveWithCells="1">
                  <from>
                    <xdr:col>10</xdr:col>
                    <xdr:colOff>215660</xdr:colOff>
                    <xdr:row>0</xdr:row>
                    <xdr:rowOff>0</xdr:rowOff>
                  </from>
                  <to>
                    <xdr:col>13</xdr:col>
                    <xdr:colOff>379562</xdr:colOff>
                    <xdr:row>1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CreatePDF">
                <anchor moveWithCells="1" sizeWithCells="1">
                  <from>
                    <xdr:col>13</xdr:col>
                    <xdr:colOff>534838</xdr:colOff>
                    <xdr:row>0</xdr:row>
                    <xdr:rowOff>103517</xdr:rowOff>
                  </from>
                  <to>
                    <xdr:col>15</xdr:col>
                    <xdr:colOff>500332</xdr:colOff>
                    <xdr:row>1</xdr:row>
                    <xdr:rowOff>129396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E57B6-C33E-4B40-8858-74B2136C7D2E}">
  <sheetPr codeName="Scores"/>
  <dimension ref="A1:E14"/>
  <sheetViews>
    <sheetView workbookViewId="0">
      <selection sqref="A1:E15"/>
    </sheetView>
  </sheetViews>
  <sheetFormatPr defaultRowHeight="14.3" x14ac:dyDescent="0.25"/>
  <cols>
    <col min="1" max="1" width="21.75" customWidth="1"/>
    <col min="2" max="2" width="4.625" bestFit="1" customWidth="1"/>
    <col min="3" max="3" width="5.625" bestFit="1" customWidth="1"/>
    <col min="4" max="4" width="6.625" bestFit="1" customWidth="1"/>
    <col min="5" max="5" width="5.625" bestFit="1" customWidth="1"/>
  </cols>
  <sheetData>
    <row r="1" spans="1:5" x14ac:dyDescent="0.25">
      <c r="A1" s="2" t="s">
        <v>8</v>
      </c>
      <c r="B1" s="6" t="s">
        <v>9</v>
      </c>
      <c r="C1" s="6" t="s">
        <v>10</v>
      </c>
      <c r="D1" s="6" t="s">
        <v>11</v>
      </c>
      <c r="E1" s="7" t="s">
        <v>12</v>
      </c>
    </row>
    <row r="2" spans="1:5" x14ac:dyDescent="0.25">
      <c r="A2" s="2" t="s">
        <v>66</v>
      </c>
      <c r="B2" s="2"/>
      <c r="C2" s="2">
        <v>3</v>
      </c>
      <c r="D2" s="2">
        <v>1</v>
      </c>
      <c r="E2" s="2"/>
    </row>
    <row r="3" spans="1:5" x14ac:dyDescent="0.25">
      <c r="A3" s="2" t="s">
        <v>73</v>
      </c>
      <c r="B3" s="2"/>
      <c r="C3" s="2">
        <v>5</v>
      </c>
      <c r="D3" s="2"/>
      <c r="E3" s="2"/>
    </row>
    <row r="4" spans="1:5" x14ac:dyDescent="0.25">
      <c r="A4" s="2" t="s">
        <v>75</v>
      </c>
      <c r="B4" s="2"/>
      <c r="C4" s="2"/>
      <c r="D4" s="2"/>
      <c r="E4" s="2"/>
    </row>
    <row r="5" spans="1:5" x14ac:dyDescent="0.25">
      <c r="A5" s="2" t="s">
        <v>64</v>
      </c>
      <c r="B5" s="2"/>
      <c r="C5" s="2">
        <v>11</v>
      </c>
      <c r="D5" s="2"/>
      <c r="E5" s="2">
        <v>1</v>
      </c>
    </row>
    <row r="6" spans="1:5" x14ac:dyDescent="0.25">
      <c r="A6" s="2" t="s">
        <v>68</v>
      </c>
      <c r="B6" s="2">
        <v>1</v>
      </c>
      <c r="C6" s="2">
        <v>15</v>
      </c>
      <c r="D6" s="2"/>
      <c r="E6" s="2"/>
    </row>
    <row r="7" spans="1:5" x14ac:dyDescent="0.25">
      <c r="A7" s="2" t="s">
        <v>77</v>
      </c>
      <c r="B7" s="2">
        <v>3</v>
      </c>
      <c r="C7" s="2">
        <v>1</v>
      </c>
      <c r="D7" s="2"/>
      <c r="E7" s="2"/>
    </row>
    <row r="8" spans="1:5" x14ac:dyDescent="0.25">
      <c r="A8" s="2" t="s">
        <v>102</v>
      </c>
      <c r="B8" s="2">
        <v>4</v>
      </c>
      <c r="C8" s="2"/>
      <c r="D8" s="2"/>
      <c r="E8" s="2"/>
    </row>
    <row r="9" spans="1:5" x14ac:dyDescent="0.25">
      <c r="A9" s="2" t="s">
        <v>79</v>
      </c>
      <c r="B9" s="2"/>
      <c r="C9" s="2">
        <v>2</v>
      </c>
      <c r="D9" s="2"/>
      <c r="E9" s="2"/>
    </row>
    <row r="10" spans="1:5" x14ac:dyDescent="0.25">
      <c r="A10" s="2" t="s">
        <v>104</v>
      </c>
      <c r="B10" s="2">
        <v>3</v>
      </c>
      <c r="C10" s="2"/>
      <c r="D10" s="2"/>
      <c r="E10" s="2"/>
    </row>
    <row r="11" spans="1:5" x14ac:dyDescent="0.25">
      <c r="A11" s="2" t="s">
        <v>71</v>
      </c>
      <c r="B11" s="2">
        <v>3</v>
      </c>
      <c r="C11" s="2">
        <v>7</v>
      </c>
      <c r="D11" s="2">
        <v>1</v>
      </c>
      <c r="E11" s="2"/>
    </row>
    <row r="12" spans="1:5" x14ac:dyDescent="0.25">
      <c r="A12" s="2" t="s">
        <v>106</v>
      </c>
      <c r="B12" s="2">
        <v>2</v>
      </c>
      <c r="C12" s="2">
        <v>1</v>
      </c>
      <c r="D12" s="2"/>
      <c r="E12" s="2"/>
    </row>
    <row r="13" spans="1:5" x14ac:dyDescent="0.25">
      <c r="A13" s="2" t="s">
        <v>65</v>
      </c>
      <c r="B13" s="2"/>
      <c r="C13" s="2"/>
      <c r="D13" s="2"/>
      <c r="E13" s="2"/>
    </row>
    <row r="14" spans="1:5" x14ac:dyDescent="0.25">
      <c r="A14" s="2" t="s">
        <v>109</v>
      </c>
      <c r="B14" s="2"/>
      <c r="C14" s="2"/>
      <c r="D14" s="2"/>
      <c r="E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GoToNavigation">
                <anchor moveWithCells="1">
                  <from>
                    <xdr:col>7</xdr:col>
                    <xdr:colOff>17253</xdr:colOff>
                    <xdr:row>0</xdr:row>
                    <xdr:rowOff>51758</xdr:rowOff>
                  </from>
                  <to>
                    <xdr:col>10</xdr:col>
                    <xdr:colOff>362309</xdr:colOff>
                    <xdr:row>1</xdr:row>
                    <xdr:rowOff>163902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0540B-055B-4780-B235-F266AC0032D9}">
  <sheetPr codeName="AwayGame1"/>
  <dimension ref="A1:H21"/>
  <sheetViews>
    <sheetView workbookViewId="0">
      <selection activeCell="B1" sqref="B1:E1"/>
    </sheetView>
  </sheetViews>
  <sheetFormatPr defaultRowHeight="14.3" x14ac:dyDescent="0.25"/>
  <cols>
    <col min="1" max="1" width="16.25" style="5" customWidth="1"/>
    <col min="2" max="2" width="22" customWidth="1"/>
    <col min="3" max="4" width="11.25" customWidth="1"/>
    <col min="5" max="5" width="22" customWidth="1"/>
  </cols>
  <sheetData>
    <row r="1" spans="1:8" ht="38.75" customHeight="1" thickTop="1" thickBot="1" x14ac:dyDescent="0.3">
      <c r="A1" s="3" t="s">
        <v>22</v>
      </c>
      <c r="B1" s="69" t="s">
        <v>83</v>
      </c>
      <c r="C1" s="70"/>
      <c r="D1" s="70"/>
      <c r="E1" s="71"/>
    </row>
    <row r="2" spans="1:8" ht="15.65" customHeight="1" thickTop="1" thickBot="1" x14ac:dyDescent="0.3">
      <c r="A2"/>
      <c r="B2" s="76" t="s">
        <v>81</v>
      </c>
      <c r="C2" s="76"/>
      <c r="D2" s="76"/>
      <c r="E2" s="76"/>
    </row>
    <row r="3" spans="1:8" ht="24.45" customHeight="1" x14ac:dyDescent="0.25">
      <c r="A3" s="4" t="s">
        <v>13</v>
      </c>
      <c r="B3" s="22"/>
      <c r="C3" s="77">
        <v>0</v>
      </c>
      <c r="D3" s="79">
        <v>2</v>
      </c>
      <c r="E3" s="30" t="s">
        <v>66</v>
      </c>
    </row>
    <row r="4" spans="1:8" ht="24.45" customHeight="1" thickBot="1" x14ac:dyDescent="0.3">
      <c r="A4" s="4"/>
      <c r="B4" s="23"/>
      <c r="C4" s="78"/>
      <c r="D4" s="80"/>
      <c r="E4" s="31" t="s">
        <v>73</v>
      </c>
      <c r="G4" t="str">
        <f>IF(C3=2,"L","")</f>
        <v/>
      </c>
      <c r="H4" t="str">
        <f>IF(D3=2,"W","")</f>
        <v>W</v>
      </c>
    </row>
    <row r="5" spans="1:8" ht="11.55" customHeight="1" thickBot="1" x14ac:dyDescent="0.3"/>
    <row r="6" spans="1:8" ht="24.45" customHeight="1" x14ac:dyDescent="0.25">
      <c r="A6" s="4" t="s">
        <v>14</v>
      </c>
      <c r="B6" s="32"/>
      <c r="C6" s="72">
        <v>2</v>
      </c>
      <c r="D6" s="74">
        <v>1</v>
      </c>
      <c r="E6" s="24" t="s">
        <v>75</v>
      </c>
      <c r="G6" t="str">
        <f t="shared" ref="G6:G9" si="0">IF(C5=2,"W","")</f>
        <v/>
      </c>
      <c r="H6" t="str">
        <f t="shared" ref="H6" si="1">IF(D5=2,"L","")</f>
        <v/>
      </c>
    </row>
    <row r="7" spans="1:8" ht="24.45" customHeight="1" thickBot="1" x14ac:dyDescent="0.3">
      <c r="A7" s="4"/>
      <c r="B7" s="33"/>
      <c r="C7" s="73"/>
      <c r="D7" s="75"/>
      <c r="E7" s="25" t="s">
        <v>64</v>
      </c>
      <c r="G7" t="str">
        <f>IF(C6=2,"L","")</f>
        <v>L</v>
      </c>
      <c r="H7" t="str">
        <f>IF(D6=2,"W","")</f>
        <v/>
      </c>
    </row>
    <row r="8" spans="1:8" ht="11.55" customHeight="1" thickBot="1" x14ac:dyDescent="0.3"/>
    <row r="9" spans="1:8" ht="24.45" customHeight="1" x14ac:dyDescent="0.25">
      <c r="A9" s="4" t="s">
        <v>15</v>
      </c>
      <c r="B9" s="32"/>
      <c r="C9" s="72">
        <v>0</v>
      </c>
      <c r="D9" s="74">
        <v>2</v>
      </c>
      <c r="E9" s="24" t="s">
        <v>68</v>
      </c>
      <c r="G9" t="str">
        <f t="shared" si="0"/>
        <v/>
      </c>
    </row>
    <row r="10" spans="1:8" ht="24.45" customHeight="1" thickBot="1" x14ac:dyDescent="0.3">
      <c r="A10" s="4"/>
      <c r="B10" s="33"/>
      <c r="C10" s="73"/>
      <c r="D10" s="75"/>
      <c r="E10" s="25" t="s">
        <v>77</v>
      </c>
      <c r="G10" t="str">
        <f>IF(C9=2,"L","")</f>
        <v/>
      </c>
      <c r="H10" t="str">
        <f>IF(D9=2,"W","")</f>
        <v>W</v>
      </c>
    </row>
    <row r="11" spans="1:8" ht="11.55" customHeight="1" thickBot="1" x14ac:dyDescent="0.3"/>
    <row r="12" spans="1:8" ht="24.45" customHeight="1" thickBot="1" x14ac:dyDescent="0.3">
      <c r="A12" s="4" t="s">
        <v>16</v>
      </c>
      <c r="B12" s="36"/>
      <c r="C12" s="34">
        <v>2</v>
      </c>
      <c r="D12" s="38">
        <v>1</v>
      </c>
      <c r="E12" s="40" t="s">
        <v>77</v>
      </c>
      <c r="G12" t="str">
        <f>IF(C12=2,"L","")</f>
        <v>L</v>
      </c>
      <c r="H12" t="str">
        <f>IF(D12=2,"W","")</f>
        <v/>
      </c>
    </row>
    <row r="13" spans="1:8" ht="24.45" customHeight="1" thickBot="1" x14ac:dyDescent="0.3">
      <c r="A13" s="4" t="s">
        <v>17</v>
      </c>
      <c r="B13" s="36"/>
      <c r="C13" s="34">
        <v>0</v>
      </c>
      <c r="D13" s="38">
        <v>2</v>
      </c>
      <c r="E13" s="40" t="s">
        <v>66</v>
      </c>
      <c r="G13" t="str">
        <f t="shared" ref="G13:G17" si="2">IF(C13=2,"L","")</f>
        <v/>
      </c>
      <c r="H13" t="str">
        <f t="shared" ref="H13:H17" si="3">IF(D13=2,"W","")</f>
        <v>W</v>
      </c>
    </row>
    <row r="14" spans="1:8" ht="24.45" customHeight="1" thickBot="1" x14ac:dyDescent="0.3">
      <c r="A14" s="4" t="s">
        <v>18</v>
      </c>
      <c r="B14" s="36"/>
      <c r="C14" s="34">
        <v>0</v>
      </c>
      <c r="D14" s="38">
        <v>2</v>
      </c>
      <c r="E14" s="40" t="s">
        <v>64</v>
      </c>
      <c r="G14" t="str">
        <f t="shared" si="2"/>
        <v/>
      </c>
      <c r="H14" t="str">
        <f t="shared" si="3"/>
        <v>W</v>
      </c>
    </row>
    <row r="15" spans="1:8" ht="24.45" customHeight="1" thickBot="1" x14ac:dyDescent="0.3">
      <c r="A15" s="4" t="s">
        <v>19</v>
      </c>
      <c r="B15" s="36"/>
      <c r="C15" s="34">
        <v>2</v>
      </c>
      <c r="D15" s="38">
        <v>0</v>
      </c>
      <c r="E15" s="40" t="s">
        <v>73</v>
      </c>
      <c r="G15" t="str">
        <f t="shared" si="2"/>
        <v>L</v>
      </c>
      <c r="H15" t="str">
        <f t="shared" si="3"/>
        <v/>
      </c>
    </row>
    <row r="16" spans="1:8" ht="24.45" customHeight="1" thickBot="1" x14ac:dyDescent="0.3">
      <c r="A16" s="4" t="s">
        <v>20</v>
      </c>
      <c r="B16" s="36"/>
      <c r="C16" s="34">
        <v>0</v>
      </c>
      <c r="D16" s="38">
        <v>2</v>
      </c>
      <c r="E16" s="40" t="s">
        <v>68</v>
      </c>
      <c r="G16" t="str">
        <f t="shared" si="2"/>
        <v/>
      </c>
      <c r="H16" t="str">
        <f t="shared" si="3"/>
        <v>W</v>
      </c>
    </row>
    <row r="17" spans="1:8" ht="24.45" customHeight="1" thickBot="1" x14ac:dyDescent="0.3">
      <c r="A17" s="4" t="s">
        <v>21</v>
      </c>
      <c r="B17" s="37"/>
      <c r="C17" s="35">
        <v>0</v>
      </c>
      <c r="D17" s="39">
        <v>2</v>
      </c>
      <c r="E17" s="41" t="s">
        <v>75</v>
      </c>
      <c r="G17" t="str">
        <f t="shared" si="2"/>
        <v/>
      </c>
      <c r="H17" t="str">
        <f t="shared" si="3"/>
        <v>W</v>
      </c>
    </row>
    <row r="18" spans="1:8" x14ac:dyDescent="0.25">
      <c r="C18" s="4">
        <f>COUNTIF(G3:G17,"L")</f>
        <v>3</v>
      </c>
      <c r="D18" s="4">
        <f>COUNTIF(H3:H17,"W")</f>
        <v>6</v>
      </c>
    </row>
    <row r="21" spans="1:8" ht="18.350000000000001" x14ac:dyDescent="0.3">
      <c r="E21" s="47" t="s">
        <v>97</v>
      </c>
    </row>
  </sheetData>
  <sheetProtection selectLockedCells="1"/>
  <mergeCells count="8">
    <mergeCell ref="C9:C10"/>
    <mergeCell ref="D9:D10"/>
    <mergeCell ref="B1:E1"/>
    <mergeCell ref="B2:E2"/>
    <mergeCell ref="C3:C4"/>
    <mergeCell ref="D3:D4"/>
    <mergeCell ref="C6:C7"/>
    <mergeCell ref="D6:D7"/>
  </mergeCells>
  <dataValidations count="3">
    <dataValidation type="textLength" allowBlank="1" showInputMessage="1" showErrorMessage="1" promptTitle="No Entry" prompt="Erroneous entry" sqref="B3:B4 B6:B7 B9:B10 B12:B17" xr:uid="{A74CEAB0-EBFE-4134-B2C3-EC775DFDE80E}">
      <formula1>0</formula1>
      <formula2>0</formula2>
    </dataValidation>
    <dataValidation type="list" allowBlank="1" showInputMessage="1" showErrorMessage="1" sqref="E12:E17 E3:E4 E6:E7 E9:E10" xr:uid="{BDD159FF-86AD-42B1-86E5-F025138113D0}">
      <formula1>PlayerName</formula1>
    </dataValidation>
    <dataValidation allowBlank="1" showInputMessage="1" showErrorMessage="1" sqref="C6:D7 C9:D10 C12:D17" xr:uid="{E7A6ECBF-A67D-4AD8-A6F7-89D5521608DD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1">
              <controlPr defaultSize="0" print="0" autoFill="0" autoPict="0" macro="[0]!SubmitScores">
                <anchor moveWithCells="1" sizeWithCells="1">
                  <from>
                    <xdr:col>1</xdr:col>
                    <xdr:colOff>1009291</xdr:colOff>
                    <xdr:row>19</xdr:row>
                    <xdr:rowOff>8626</xdr:rowOff>
                  </from>
                  <to>
                    <xdr:col>3</xdr:col>
                    <xdr:colOff>646981</xdr:colOff>
                    <xdr:row>21</xdr:row>
                    <xdr:rowOff>8626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GoToNavigation">
                <anchor moveWithCells="1" sizeWithCells="1">
                  <from>
                    <xdr:col>5</xdr:col>
                    <xdr:colOff>431321</xdr:colOff>
                    <xdr:row>0</xdr:row>
                    <xdr:rowOff>103517</xdr:rowOff>
                  </from>
                  <to>
                    <xdr:col>8</xdr:col>
                    <xdr:colOff>198408</xdr:colOff>
                    <xdr:row>0</xdr:row>
                    <xdr:rowOff>353683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56D13-FF2D-4451-97B6-B8C128C4266F}">
  <sheetPr codeName="AwayGame2"/>
  <dimension ref="A1:H21"/>
  <sheetViews>
    <sheetView workbookViewId="0">
      <selection activeCell="B1" sqref="B1:E1"/>
    </sheetView>
  </sheetViews>
  <sheetFormatPr defaultRowHeight="14.3" x14ac:dyDescent="0.25"/>
  <cols>
    <col min="1" max="1" width="16.25" style="5" customWidth="1"/>
    <col min="2" max="2" width="22" customWidth="1"/>
    <col min="3" max="4" width="11.25" customWidth="1"/>
    <col min="5" max="5" width="22" customWidth="1"/>
  </cols>
  <sheetData>
    <row r="1" spans="1:8" ht="38.75" customHeight="1" thickTop="1" thickBot="1" x14ac:dyDescent="0.3">
      <c r="A1" s="3" t="s">
        <v>22</v>
      </c>
      <c r="B1" s="69" t="s">
        <v>84</v>
      </c>
      <c r="C1" s="70"/>
      <c r="D1" s="70"/>
      <c r="E1" s="71"/>
    </row>
    <row r="2" spans="1:8" ht="15.65" customHeight="1" thickTop="1" thickBot="1" x14ac:dyDescent="0.3">
      <c r="A2"/>
      <c r="B2" s="76" t="s">
        <v>81</v>
      </c>
      <c r="C2" s="76"/>
      <c r="D2" s="76"/>
      <c r="E2" s="76"/>
    </row>
    <row r="3" spans="1:8" ht="24.45" customHeight="1" x14ac:dyDescent="0.25">
      <c r="A3" s="4" t="s">
        <v>13</v>
      </c>
      <c r="B3" s="22"/>
      <c r="C3" s="77">
        <v>0</v>
      </c>
      <c r="D3" s="79">
        <v>2</v>
      </c>
      <c r="E3" s="30" t="s">
        <v>64</v>
      </c>
    </row>
    <row r="4" spans="1:8" ht="24.45" customHeight="1" thickBot="1" x14ac:dyDescent="0.3">
      <c r="A4" s="4"/>
      <c r="B4" s="23"/>
      <c r="C4" s="78"/>
      <c r="D4" s="80"/>
      <c r="E4" s="31" t="s">
        <v>102</v>
      </c>
      <c r="G4" t="str">
        <f>IF(C3=2,"L","")</f>
        <v/>
      </c>
      <c r="H4" t="str">
        <f>IF(D3=2,"W","")</f>
        <v>W</v>
      </c>
    </row>
    <row r="5" spans="1:8" ht="11.55" customHeight="1" thickBot="1" x14ac:dyDescent="0.3"/>
    <row r="6" spans="1:8" ht="24.45" customHeight="1" x14ac:dyDescent="0.25">
      <c r="A6" s="4" t="s">
        <v>14</v>
      </c>
      <c r="B6" s="32"/>
      <c r="C6" s="72">
        <v>1</v>
      </c>
      <c r="D6" s="74">
        <v>2</v>
      </c>
      <c r="E6" s="24" t="s">
        <v>79</v>
      </c>
      <c r="G6" t="str">
        <f t="shared" ref="G6:G9" si="0">IF(C5=2,"W","")</f>
        <v/>
      </c>
      <c r="H6" t="str">
        <f t="shared" ref="H6" si="1">IF(D5=2,"L","")</f>
        <v/>
      </c>
    </row>
    <row r="7" spans="1:8" ht="24.45" customHeight="1" thickBot="1" x14ac:dyDescent="0.3">
      <c r="A7" s="4"/>
      <c r="B7" s="33"/>
      <c r="C7" s="73"/>
      <c r="D7" s="75"/>
      <c r="E7" s="25" t="s">
        <v>73</v>
      </c>
      <c r="G7" t="str">
        <f>IF(C6=2,"L","")</f>
        <v/>
      </c>
      <c r="H7" t="str">
        <f>IF(D6=2,"W","")</f>
        <v>W</v>
      </c>
    </row>
    <row r="8" spans="1:8" ht="11.55" customHeight="1" thickBot="1" x14ac:dyDescent="0.3"/>
    <row r="9" spans="1:8" ht="24.45" customHeight="1" x14ac:dyDescent="0.25">
      <c r="A9" s="4" t="s">
        <v>15</v>
      </c>
      <c r="B9" s="32"/>
      <c r="C9" s="72">
        <v>2</v>
      </c>
      <c r="D9" s="74">
        <v>0</v>
      </c>
      <c r="E9" s="24" t="s">
        <v>104</v>
      </c>
      <c r="G9" t="str">
        <f t="shared" si="0"/>
        <v/>
      </c>
    </row>
    <row r="10" spans="1:8" ht="24.45" customHeight="1" thickBot="1" x14ac:dyDescent="0.3">
      <c r="A10" s="4"/>
      <c r="B10" s="33"/>
      <c r="C10" s="73"/>
      <c r="D10" s="75"/>
      <c r="E10" s="25" t="s">
        <v>66</v>
      </c>
      <c r="G10" t="str">
        <f>IF(C9=2,"L","")</f>
        <v>L</v>
      </c>
      <c r="H10" t="str">
        <f>IF(D9=2,"W","")</f>
        <v/>
      </c>
    </row>
    <row r="11" spans="1:8" ht="11.55" customHeight="1" thickBot="1" x14ac:dyDescent="0.3"/>
    <row r="12" spans="1:8" ht="24.45" customHeight="1" thickBot="1" x14ac:dyDescent="0.3">
      <c r="A12" s="4" t="s">
        <v>16</v>
      </c>
      <c r="B12" s="36"/>
      <c r="C12" s="34">
        <v>0</v>
      </c>
      <c r="D12" s="38">
        <v>2</v>
      </c>
      <c r="E12" s="40" t="s">
        <v>71</v>
      </c>
      <c r="G12" t="str">
        <f>IF(C12=2,"L","")</f>
        <v/>
      </c>
      <c r="H12" t="str">
        <f>IF(D12=2,"W","")</f>
        <v>W</v>
      </c>
    </row>
    <row r="13" spans="1:8" ht="24.45" customHeight="1" thickBot="1" x14ac:dyDescent="0.3">
      <c r="A13" s="4" t="s">
        <v>17</v>
      </c>
      <c r="B13" s="36"/>
      <c r="C13" s="34">
        <v>0</v>
      </c>
      <c r="D13" s="38">
        <v>2</v>
      </c>
      <c r="E13" s="40" t="s">
        <v>64</v>
      </c>
      <c r="G13" t="str">
        <f t="shared" ref="G13:G17" si="2">IF(C13=2,"L","")</f>
        <v/>
      </c>
      <c r="H13" t="str">
        <f t="shared" ref="H13:H17" si="3">IF(D13=2,"W","")</f>
        <v>W</v>
      </c>
    </row>
    <row r="14" spans="1:8" ht="24.45" customHeight="1" thickBot="1" x14ac:dyDescent="0.3">
      <c r="A14" s="4" t="s">
        <v>18</v>
      </c>
      <c r="B14" s="36"/>
      <c r="C14" s="34">
        <v>1</v>
      </c>
      <c r="D14" s="38">
        <v>2</v>
      </c>
      <c r="E14" s="40" t="s">
        <v>66</v>
      </c>
      <c r="G14" t="str">
        <f t="shared" si="2"/>
        <v/>
      </c>
      <c r="H14" t="str">
        <f t="shared" si="3"/>
        <v>W</v>
      </c>
    </row>
    <row r="15" spans="1:8" ht="24.45" customHeight="1" thickBot="1" x14ac:dyDescent="0.3">
      <c r="A15" s="4" t="s">
        <v>19</v>
      </c>
      <c r="B15" s="36"/>
      <c r="C15" s="34">
        <v>0</v>
      </c>
      <c r="D15" s="38">
        <v>2</v>
      </c>
      <c r="E15" s="40" t="s">
        <v>73</v>
      </c>
      <c r="G15" t="str">
        <f t="shared" si="2"/>
        <v/>
      </c>
      <c r="H15" t="str">
        <f t="shared" si="3"/>
        <v>W</v>
      </c>
    </row>
    <row r="16" spans="1:8" ht="24.45" customHeight="1" thickBot="1" x14ac:dyDescent="0.3">
      <c r="A16" s="4" t="s">
        <v>20</v>
      </c>
      <c r="B16" s="36"/>
      <c r="C16" s="34">
        <v>0</v>
      </c>
      <c r="D16" s="38">
        <v>2</v>
      </c>
      <c r="E16" s="40" t="s">
        <v>106</v>
      </c>
      <c r="G16" t="str">
        <f t="shared" si="2"/>
        <v/>
      </c>
      <c r="H16" t="str">
        <f t="shared" si="3"/>
        <v>W</v>
      </c>
    </row>
    <row r="17" spans="1:8" ht="24.45" customHeight="1" thickBot="1" x14ac:dyDescent="0.3">
      <c r="A17" s="4" t="s">
        <v>21</v>
      </c>
      <c r="B17" s="37"/>
      <c r="C17" s="35">
        <v>2</v>
      </c>
      <c r="D17" s="39">
        <v>0</v>
      </c>
      <c r="E17" s="41" t="s">
        <v>75</v>
      </c>
      <c r="G17" t="str">
        <f t="shared" si="2"/>
        <v>L</v>
      </c>
      <c r="H17" t="str">
        <f t="shared" si="3"/>
        <v/>
      </c>
    </row>
    <row r="18" spans="1:8" x14ac:dyDescent="0.25">
      <c r="C18" s="4">
        <f>COUNTIF(G3:G17,"L")</f>
        <v>2</v>
      </c>
      <c r="D18" s="4">
        <f>COUNTIF(H3:H17,"W")</f>
        <v>7</v>
      </c>
    </row>
    <row r="21" spans="1:8" ht="18.350000000000001" x14ac:dyDescent="0.3">
      <c r="E21" s="47" t="s">
        <v>97</v>
      </c>
    </row>
  </sheetData>
  <sheetProtection selectLockedCells="1"/>
  <mergeCells count="8">
    <mergeCell ref="C9:C10"/>
    <mergeCell ref="D9:D10"/>
    <mergeCell ref="B1:E1"/>
    <mergeCell ref="B2:E2"/>
    <mergeCell ref="C3:C4"/>
    <mergeCell ref="D3:D4"/>
    <mergeCell ref="C6:C7"/>
    <mergeCell ref="D6:D7"/>
  </mergeCells>
  <dataValidations count="3">
    <dataValidation type="textLength" allowBlank="1" showInputMessage="1" showErrorMessage="1" promptTitle="No Entry" prompt="Erroneous entry" sqref="B3:B4 B6:B7 B9:B10 B12:B17" xr:uid="{CF095DFA-9CB4-4A95-9DF4-8EFD3B399471}">
      <formula1>0</formula1>
      <formula2>0</formula2>
    </dataValidation>
    <dataValidation type="list" allowBlank="1" showInputMessage="1" showErrorMessage="1" sqref="E12:E17 E3:E4 E6:E7 E9:E10" xr:uid="{B85CF91D-8866-42EF-8F0D-283B5B03982C}">
      <formula1>PlayerName</formula1>
    </dataValidation>
    <dataValidation allowBlank="1" showInputMessage="1" showErrorMessage="1" sqref="C6:D7 C9:D10 C12:D17" xr:uid="{B5A395AD-4794-4FC7-8ABD-F2CE10350F65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SubmitScores">
                <anchor moveWithCells="1" sizeWithCells="1">
                  <from>
                    <xdr:col>1</xdr:col>
                    <xdr:colOff>1009291</xdr:colOff>
                    <xdr:row>19</xdr:row>
                    <xdr:rowOff>8626</xdr:rowOff>
                  </from>
                  <to>
                    <xdr:col>3</xdr:col>
                    <xdr:colOff>646981</xdr:colOff>
                    <xdr:row>21</xdr:row>
                    <xdr:rowOff>8626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4" name="Button 2">
              <controlPr defaultSize="0" print="0" autoFill="0" autoPict="0" macro="[0]!GoToNavigation">
                <anchor moveWithCells="1" sizeWithCells="1">
                  <from>
                    <xdr:col>5</xdr:col>
                    <xdr:colOff>431321</xdr:colOff>
                    <xdr:row>0</xdr:row>
                    <xdr:rowOff>103517</xdr:rowOff>
                  </from>
                  <to>
                    <xdr:col>8</xdr:col>
                    <xdr:colOff>198408</xdr:colOff>
                    <xdr:row>0</xdr:row>
                    <xdr:rowOff>353683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ABC34-95F8-42E1-BE02-F05C3AE0FC0D}">
  <sheetPr codeName="HomeGame1"/>
  <dimension ref="A1:H21"/>
  <sheetViews>
    <sheetView workbookViewId="0">
      <selection activeCell="B1" sqref="B1:E1"/>
    </sheetView>
  </sheetViews>
  <sheetFormatPr defaultRowHeight="14.3" x14ac:dyDescent="0.25"/>
  <cols>
    <col min="1" max="1" width="16.25" style="5" customWidth="1"/>
    <col min="2" max="2" width="22" customWidth="1"/>
    <col min="3" max="4" width="11.25" customWidth="1"/>
    <col min="5" max="5" width="22" customWidth="1"/>
  </cols>
  <sheetData>
    <row r="1" spans="1:8" ht="38.75" customHeight="1" thickTop="1" thickBot="1" x14ac:dyDescent="0.3">
      <c r="A1" s="3" t="s">
        <v>22</v>
      </c>
      <c r="B1" s="69" t="s">
        <v>85</v>
      </c>
      <c r="C1" s="70"/>
      <c r="D1" s="70"/>
      <c r="E1" s="71"/>
    </row>
    <row r="2" spans="1:8" ht="15.65" customHeight="1" thickTop="1" thickBot="1" x14ac:dyDescent="0.3">
      <c r="A2"/>
      <c r="B2" s="83" t="s">
        <v>82</v>
      </c>
      <c r="C2" s="83"/>
      <c r="D2" s="83"/>
      <c r="E2" s="83"/>
    </row>
    <row r="3" spans="1:8" ht="24.45" customHeight="1" x14ac:dyDescent="0.25">
      <c r="A3" s="4" t="s">
        <v>13</v>
      </c>
      <c r="B3" s="17" t="s">
        <v>71</v>
      </c>
      <c r="C3" s="81">
        <v>2</v>
      </c>
      <c r="D3" s="81">
        <v>1</v>
      </c>
      <c r="E3" s="19"/>
    </row>
    <row r="4" spans="1:8" ht="24.45" customHeight="1" thickBot="1" x14ac:dyDescent="0.3">
      <c r="A4" s="4"/>
      <c r="B4" s="18" t="s">
        <v>104</v>
      </c>
      <c r="C4" s="82"/>
      <c r="D4" s="82"/>
      <c r="E4" s="20"/>
      <c r="G4" t="str">
        <f>IF(C3=2,"W","")</f>
        <v>W</v>
      </c>
      <c r="H4" t="str">
        <f>IF(D3=2,"L","")</f>
        <v/>
      </c>
    </row>
    <row r="5" spans="1:8" ht="11.55" customHeight="1" thickBot="1" x14ac:dyDescent="0.3">
      <c r="H5" t="str">
        <f t="shared" ref="H5:H11" si="0">IF(D4=2,"L","")</f>
        <v/>
      </c>
    </row>
    <row r="6" spans="1:8" ht="24.45" customHeight="1" x14ac:dyDescent="0.25">
      <c r="A6" s="4" t="s">
        <v>14</v>
      </c>
      <c r="B6" s="17" t="s">
        <v>65</v>
      </c>
      <c r="C6" s="81">
        <v>1</v>
      </c>
      <c r="D6" s="81">
        <v>2</v>
      </c>
      <c r="E6" s="19"/>
      <c r="G6" t="str">
        <f t="shared" ref="G6:G9" si="1">IF(C5=2,"W","")</f>
        <v/>
      </c>
      <c r="H6" t="str">
        <f t="shared" si="0"/>
        <v/>
      </c>
    </row>
    <row r="7" spans="1:8" ht="24.45" customHeight="1" thickBot="1" x14ac:dyDescent="0.3">
      <c r="A7" s="4"/>
      <c r="B7" s="18" t="s">
        <v>102</v>
      </c>
      <c r="C7" s="82"/>
      <c r="D7" s="82"/>
      <c r="E7" s="20"/>
      <c r="G7" t="str">
        <f>IF(C6=2,"W","")</f>
        <v/>
      </c>
      <c r="H7" t="str">
        <f>IF(D6=2,"L","")</f>
        <v>L</v>
      </c>
    </row>
    <row r="8" spans="1:8" ht="11.55" customHeight="1" thickBot="1" x14ac:dyDescent="0.3">
      <c r="H8" t="str">
        <f t="shared" si="0"/>
        <v/>
      </c>
    </row>
    <row r="9" spans="1:8" ht="24.45" customHeight="1" x14ac:dyDescent="0.25">
      <c r="A9" s="4" t="s">
        <v>15</v>
      </c>
      <c r="B9" s="17" t="s">
        <v>66</v>
      </c>
      <c r="C9" s="81">
        <v>0</v>
      </c>
      <c r="D9" s="81">
        <v>2</v>
      </c>
      <c r="E9" s="19"/>
      <c r="G9" t="str">
        <f t="shared" si="1"/>
        <v/>
      </c>
      <c r="H9" t="str">
        <f t="shared" si="0"/>
        <v/>
      </c>
    </row>
    <row r="10" spans="1:8" ht="24.45" customHeight="1" thickBot="1" x14ac:dyDescent="0.3">
      <c r="A10" s="4"/>
      <c r="B10" s="18" t="s">
        <v>106</v>
      </c>
      <c r="C10" s="82"/>
      <c r="D10" s="82"/>
      <c r="E10" s="20"/>
      <c r="G10" t="str">
        <f>IF(C9=2,"W","")</f>
        <v/>
      </c>
      <c r="H10" t="str">
        <f t="shared" si="0"/>
        <v>L</v>
      </c>
    </row>
    <row r="11" spans="1:8" ht="11.55" customHeight="1" thickBot="1" x14ac:dyDescent="0.3">
      <c r="H11" t="str">
        <f t="shared" si="0"/>
        <v/>
      </c>
    </row>
    <row r="12" spans="1:8" ht="24.45" customHeight="1" thickBot="1" x14ac:dyDescent="0.3">
      <c r="A12" s="4" t="s">
        <v>16</v>
      </c>
      <c r="B12" s="26" t="s">
        <v>64</v>
      </c>
      <c r="C12" s="27">
        <v>2</v>
      </c>
      <c r="D12" s="28">
        <v>1</v>
      </c>
      <c r="E12" s="29"/>
      <c r="G12" t="str">
        <f>IF(C12=2,"W","")</f>
        <v>W</v>
      </c>
      <c r="H12" t="str">
        <f>IF(D12=2,"L","")</f>
        <v/>
      </c>
    </row>
    <row r="13" spans="1:8" ht="24.45" customHeight="1" thickBot="1" x14ac:dyDescent="0.3">
      <c r="A13" s="4" t="s">
        <v>17</v>
      </c>
      <c r="B13" s="26" t="s">
        <v>71</v>
      </c>
      <c r="C13" s="27">
        <v>1</v>
      </c>
      <c r="D13" s="28">
        <v>2</v>
      </c>
      <c r="E13" s="29"/>
      <c r="G13" t="str">
        <f t="shared" ref="G13:G17" si="2">IF(C13=2,"W","")</f>
        <v/>
      </c>
      <c r="H13" t="str">
        <f t="shared" ref="H13:H17" si="3">IF(D13=2,"L","")</f>
        <v>L</v>
      </c>
    </row>
    <row r="14" spans="1:8" ht="24.45" customHeight="1" thickBot="1" x14ac:dyDescent="0.3">
      <c r="A14" s="4" t="s">
        <v>18</v>
      </c>
      <c r="B14" s="26" t="s">
        <v>68</v>
      </c>
      <c r="C14" s="27">
        <v>2</v>
      </c>
      <c r="D14" s="28">
        <v>1</v>
      </c>
      <c r="E14" s="29"/>
      <c r="G14" t="str">
        <f t="shared" si="2"/>
        <v>W</v>
      </c>
      <c r="H14" t="str">
        <f t="shared" si="3"/>
        <v/>
      </c>
    </row>
    <row r="15" spans="1:8" ht="24.45" customHeight="1" thickBot="1" x14ac:dyDescent="0.3">
      <c r="A15" s="4" t="s">
        <v>19</v>
      </c>
      <c r="B15" s="26" t="s">
        <v>77</v>
      </c>
      <c r="C15" s="27">
        <v>1</v>
      </c>
      <c r="D15" s="28">
        <v>2</v>
      </c>
      <c r="E15" s="29"/>
      <c r="G15" t="str">
        <f t="shared" si="2"/>
        <v/>
      </c>
      <c r="H15" t="str">
        <f t="shared" si="3"/>
        <v>L</v>
      </c>
    </row>
    <row r="16" spans="1:8" ht="24.45" customHeight="1" thickBot="1" x14ac:dyDescent="0.3">
      <c r="A16" s="4" t="s">
        <v>20</v>
      </c>
      <c r="B16" s="26" t="s">
        <v>75</v>
      </c>
      <c r="C16" s="27">
        <v>0</v>
      </c>
      <c r="D16" s="28">
        <v>2</v>
      </c>
      <c r="E16" s="29"/>
      <c r="G16" t="str">
        <f t="shared" si="2"/>
        <v/>
      </c>
      <c r="H16" t="str">
        <f t="shared" si="3"/>
        <v>L</v>
      </c>
    </row>
    <row r="17" spans="1:8" ht="24.45" customHeight="1" thickBot="1" x14ac:dyDescent="0.3">
      <c r="A17" s="4" t="s">
        <v>21</v>
      </c>
      <c r="B17" s="26" t="s">
        <v>73</v>
      </c>
      <c r="C17" s="27">
        <v>0</v>
      </c>
      <c r="D17" s="28">
        <v>2</v>
      </c>
      <c r="E17" s="29"/>
      <c r="G17" t="str">
        <f t="shared" si="2"/>
        <v/>
      </c>
      <c r="H17" t="str">
        <f t="shared" si="3"/>
        <v>L</v>
      </c>
    </row>
    <row r="18" spans="1:8" x14ac:dyDescent="0.25">
      <c r="C18" s="4">
        <f>COUNTIF(G3:G17,"W")</f>
        <v>3</v>
      </c>
      <c r="D18" s="4">
        <f>COUNTIF(H3:H17,"L")</f>
        <v>6</v>
      </c>
    </row>
    <row r="21" spans="1:8" ht="18.350000000000001" x14ac:dyDescent="0.3">
      <c r="E21" s="47" t="s">
        <v>97</v>
      </c>
    </row>
  </sheetData>
  <mergeCells count="8">
    <mergeCell ref="C9:C10"/>
    <mergeCell ref="D9:D10"/>
    <mergeCell ref="B1:E1"/>
    <mergeCell ref="B2:E2"/>
    <mergeCell ref="C3:C4"/>
    <mergeCell ref="D3:D4"/>
    <mergeCell ref="C6:C7"/>
    <mergeCell ref="D6:D7"/>
  </mergeCells>
  <dataValidations count="3">
    <dataValidation type="textLength" allowBlank="1" showInputMessage="1" showErrorMessage="1" promptTitle="No Entry" prompt="Erroneous entry" sqref="E3:E4 E6:E7 E9:E10 E12:E17" xr:uid="{6BA05AFE-157E-4579-A387-719540D51230}">
      <formula1>0</formula1>
      <formula2>0</formula2>
    </dataValidation>
    <dataValidation allowBlank="1" showInputMessage="1" showErrorMessage="1" sqref="C6:D7 C9:D10 C12:D17" xr:uid="{68CEE17D-4CF1-4044-A457-3B0C97CBD45F}"/>
    <dataValidation type="list" allowBlank="1" showInputMessage="1" showErrorMessage="1" sqref="B3:B4 B6:B7 B9:B10 B12:B17" xr:uid="{B3B90CEB-B72A-42F7-B6C1-0B7EEEE6EB75}">
      <formula1>PlayerName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Button 1">
              <controlPr defaultSize="0" print="0" autoFill="0" autoPict="0" macro="[0]!SubmitScores">
                <anchor moveWithCells="1" sizeWithCells="1">
                  <from>
                    <xdr:col>1</xdr:col>
                    <xdr:colOff>1112808</xdr:colOff>
                    <xdr:row>19</xdr:row>
                    <xdr:rowOff>86264</xdr:rowOff>
                  </from>
                  <to>
                    <xdr:col>3</xdr:col>
                    <xdr:colOff>750498</xdr:colOff>
                    <xdr:row>21</xdr:row>
                    <xdr:rowOff>86264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4" name="Button 2">
              <controlPr defaultSize="0" print="0" autoFill="0" autoPict="0" macro="[0]!GoToNavigation">
                <anchor moveWithCells="1" sizeWithCells="1">
                  <from>
                    <xdr:col>5</xdr:col>
                    <xdr:colOff>388189</xdr:colOff>
                    <xdr:row>0</xdr:row>
                    <xdr:rowOff>112143</xdr:rowOff>
                  </from>
                  <to>
                    <xdr:col>8</xdr:col>
                    <xdr:colOff>155275</xdr:colOff>
                    <xdr:row>0</xdr:row>
                    <xdr:rowOff>362309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F4798-0C14-4E69-901A-9A5F013CB7B5}">
  <sheetPr codeName="HomeGame8"/>
  <dimension ref="A1:H21"/>
  <sheetViews>
    <sheetView workbookViewId="0">
      <selection activeCell="B1" sqref="B1:E1"/>
    </sheetView>
  </sheetViews>
  <sheetFormatPr defaultRowHeight="14.3" x14ac:dyDescent="0.25"/>
  <cols>
    <col min="1" max="1" width="16.25" style="5" customWidth="1"/>
    <col min="2" max="2" width="22" customWidth="1"/>
    <col min="3" max="4" width="11.25" customWidth="1"/>
    <col min="5" max="5" width="22" customWidth="1"/>
  </cols>
  <sheetData>
    <row r="1" spans="1:8" ht="38.75" customHeight="1" thickTop="1" thickBot="1" x14ac:dyDescent="0.3">
      <c r="A1" s="3" t="s">
        <v>22</v>
      </c>
      <c r="B1" s="69" t="s">
        <v>110</v>
      </c>
      <c r="C1" s="70"/>
      <c r="D1" s="70"/>
      <c r="E1" s="71"/>
    </row>
    <row r="2" spans="1:8" ht="15.65" customHeight="1" thickTop="1" thickBot="1" x14ac:dyDescent="0.3">
      <c r="A2"/>
      <c r="B2" s="83" t="s">
        <v>82</v>
      </c>
      <c r="C2" s="83"/>
      <c r="D2" s="83"/>
      <c r="E2" s="83"/>
    </row>
    <row r="3" spans="1:8" ht="24.45" customHeight="1" x14ac:dyDescent="0.25">
      <c r="A3" s="4" t="s">
        <v>13</v>
      </c>
      <c r="B3" s="17" t="s">
        <v>75</v>
      </c>
      <c r="C3" s="81">
        <v>0</v>
      </c>
      <c r="D3" s="81">
        <v>2</v>
      </c>
      <c r="E3" s="19"/>
    </row>
    <row r="4" spans="1:8" ht="24.45" customHeight="1" thickBot="1" x14ac:dyDescent="0.3">
      <c r="A4" s="4"/>
      <c r="B4" s="18" t="s">
        <v>102</v>
      </c>
      <c r="C4" s="82"/>
      <c r="D4" s="82"/>
      <c r="E4" s="20"/>
      <c r="G4" t="str">
        <f>IF(C3=2,"W","")</f>
        <v/>
      </c>
      <c r="H4" t="str">
        <f>IF(D3=2,"L","")</f>
        <v>L</v>
      </c>
    </row>
    <row r="5" spans="1:8" ht="11.55" customHeight="1" thickBot="1" x14ac:dyDescent="0.3">
      <c r="H5" t="str">
        <f t="shared" ref="H5:H11" si="0">IF(D4=2,"L","")</f>
        <v/>
      </c>
    </row>
    <row r="6" spans="1:8" ht="24.45" customHeight="1" x14ac:dyDescent="0.25">
      <c r="A6" s="4" t="s">
        <v>14</v>
      </c>
      <c r="B6" s="17" t="s">
        <v>68</v>
      </c>
      <c r="C6" s="81">
        <v>0</v>
      </c>
      <c r="D6" s="81">
        <v>2</v>
      </c>
      <c r="E6" s="19"/>
      <c r="G6" t="str">
        <f t="shared" ref="G6:G9" si="1">IF(C5=2,"W","")</f>
        <v/>
      </c>
      <c r="H6" t="str">
        <f t="shared" si="0"/>
        <v/>
      </c>
    </row>
    <row r="7" spans="1:8" ht="24.45" customHeight="1" thickBot="1" x14ac:dyDescent="0.3">
      <c r="A7" s="4"/>
      <c r="B7" s="18" t="s">
        <v>104</v>
      </c>
      <c r="C7" s="82"/>
      <c r="D7" s="82"/>
      <c r="E7" s="20"/>
      <c r="G7" t="str">
        <f>IF(C6=2,"W","")</f>
        <v/>
      </c>
      <c r="H7" t="str">
        <f>IF(D6=2,"L","")</f>
        <v>L</v>
      </c>
    </row>
    <row r="8" spans="1:8" ht="11.55" customHeight="1" thickBot="1" x14ac:dyDescent="0.3">
      <c r="H8" t="str">
        <f t="shared" si="0"/>
        <v/>
      </c>
    </row>
    <row r="9" spans="1:8" ht="24.45" customHeight="1" x14ac:dyDescent="0.25">
      <c r="A9" s="4" t="s">
        <v>15</v>
      </c>
      <c r="B9" s="17" t="s">
        <v>71</v>
      </c>
      <c r="C9" s="81">
        <v>0</v>
      </c>
      <c r="D9" s="81">
        <v>2</v>
      </c>
      <c r="E9" s="19"/>
      <c r="G9" t="str">
        <f t="shared" si="1"/>
        <v/>
      </c>
      <c r="H9" t="str">
        <f t="shared" si="0"/>
        <v/>
      </c>
    </row>
    <row r="10" spans="1:8" ht="24.45" customHeight="1" thickBot="1" x14ac:dyDescent="0.3">
      <c r="A10" s="4"/>
      <c r="B10" s="18" t="s">
        <v>73</v>
      </c>
      <c r="C10" s="82"/>
      <c r="D10" s="82"/>
      <c r="E10" s="20"/>
      <c r="G10" t="str">
        <f>IF(C9=2,"W","")</f>
        <v/>
      </c>
      <c r="H10" t="str">
        <f t="shared" si="0"/>
        <v>L</v>
      </c>
    </row>
    <row r="11" spans="1:8" ht="11.55" customHeight="1" thickBot="1" x14ac:dyDescent="0.3">
      <c r="H11" t="str">
        <f t="shared" si="0"/>
        <v/>
      </c>
    </row>
    <row r="12" spans="1:8" ht="24.45" customHeight="1" thickBot="1" x14ac:dyDescent="0.3">
      <c r="A12" s="4" t="s">
        <v>16</v>
      </c>
      <c r="B12" s="26" t="s">
        <v>106</v>
      </c>
      <c r="C12" s="27">
        <v>2</v>
      </c>
      <c r="D12" s="28">
        <v>1</v>
      </c>
      <c r="E12" s="29"/>
      <c r="G12" t="str">
        <f>IF(C12=2,"W","")</f>
        <v>W</v>
      </c>
      <c r="H12" t="str">
        <f>IF(D12=2,"L","")</f>
        <v/>
      </c>
    </row>
    <row r="13" spans="1:8" ht="24.45" customHeight="1" thickBot="1" x14ac:dyDescent="0.3">
      <c r="A13" s="4" t="s">
        <v>17</v>
      </c>
      <c r="B13" s="26" t="s">
        <v>104</v>
      </c>
      <c r="C13" s="27">
        <v>0</v>
      </c>
      <c r="D13" s="28">
        <v>2</v>
      </c>
      <c r="E13" s="29"/>
      <c r="G13" t="str">
        <f t="shared" ref="G13:G17" si="2">IF(C13=2,"W","")</f>
        <v/>
      </c>
      <c r="H13" t="str">
        <f t="shared" ref="H13:H17" si="3">IF(D13=2,"L","")</f>
        <v>L</v>
      </c>
    </row>
    <row r="14" spans="1:8" ht="24.45" customHeight="1" thickBot="1" x14ac:dyDescent="0.3">
      <c r="A14" s="4" t="s">
        <v>18</v>
      </c>
      <c r="B14" s="26" t="s">
        <v>102</v>
      </c>
      <c r="C14" s="27">
        <v>0</v>
      </c>
      <c r="D14" s="28">
        <v>2</v>
      </c>
      <c r="E14" s="29"/>
      <c r="G14" t="str">
        <f t="shared" si="2"/>
        <v/>
      </c>
      <c r="H14" t="str">
        <f t="shared" si="3"/>
        <v>L</v>
      </c>
    </row>
    <row r="15" spans="1:8" ht="24.45" customHeight="1" thickBot="1" x14ac:dyDescent="0.3">
      <c r="A15" s="4" t="s">
        <v>19</v>
      </c>
      <c r="B15" s="26" t="s">
        <v>68</v>
      </c>
      <c r="C15" s="27">
        <v>2</v>
      </c>
      <c r="D15" s="28">
        <v>0</v>
      </c>
      <c r="E15" s="29"/>
      <c r="G15" t="str">
        <f t="shared" si="2"/>
        <v>W</v>
      </c>
      <c r="H15" t="str">
        <f t="shared" si="3"/>
        <v/>
      </c>
    </row>
    <row r="16" spans="1:8" ht="24.45" customHeight="1" thickBot="1" x14ac:dyDescent="0.3">
      <c r="A16" s="4" t="s">
        <v>20</v>
      </c>
      <c r="B16" s="26" t="s">
        <v>64</v>
      </c>
      <c r="C16" s="27">
        <v>1</v>
      </c>
      <c r="D16" s="28">
        <v>2</v>
      </c>
      <c r="E16" s="29"/>
      <c r="G16" t="str">
        <f t="shared" si="2"/>
        <v/>
      </c>
      <c r="H16" t="str">
        <f t="shared" si="3"/>
        <v>L</v>
      </c>
    </row>
    <row r="17" spans="1:8" ht="24.45" customHeight="1" thickBot="1" x14ac:dyDescent="0.3">
      <c r="A17" s="4" t="s">
        <v>21</v>
      </c>
      <c r="B17" s="26" t="s">
        <v>65</v>
      </c>
      <c r="C17" s="27">
        <v>0</v>
      </c>
      <c r="D17" s="28">
        <v>2</v>
      </c>
      <c r="E17" s="29"/>
      <c r="G17" t="str">
        <f t="shared" si="2"/>
        <v/>
      </c>
      <c r="H17" t="str">
        <f t="shared" si="3"/>
        <v>L</v>
      </c>
    </row>
    <row r="18" spans="1:8" x14ac:dyDescent="0.25">
      <c r="C18" s="4">
        <f>COUNTIF(G3:G17,"W")</f>
        <v>2</v>
      </c>
      <c r="D18" s="4">
        <f>COUNTIF(H3:H17,"L")</f>
        <v>7</v>
      </c>
    </row>
    <row r="21" spans="1:8" ht="18.350000000000001" x14ac:dyDescent="0.3">
      <c r="E21" s="47" t="s">
        <v>97</v>
      </c>
    </row>
  </sheetData>
  <mergeCells count="8">
    <mergeCell ref="C9:C10"/>
    <mergeCell ref="D9:D10"/>
    <mergeCell ref="B1:E1"/>
    <mergeCell ref="B2:E2"/>
    <mergeCell ref="C3:C4"/>
    <mergeCell ref="D3:D4"/>
    <mergeCell ref="C6:C7"/>
    <mergeCell ref="D6:D7"/>
  </mergeCells>
  <dataValidations count="3">
    <dataValidation type="textLength" allowBlank="1" showInputMessage="1" showErrorMessage="1" promptTitle="No Entry" prompt="Erroneous entry" sqref="E3:E4 E6:E7 E9:E10 E12:E17" xr:uid="{E56EDE3C-C729-436C-9A86-6E107E7A55C3}">
      <formula1>0</formula1>
      <formula2>0</formula2>
    </dataValidation>
    <dataValidation allowBlank="1" showInputMessage="1" showErrorMessage="1" sqref="C6:D7 C9:D10 C12:D17" xr:uid="{091B15DB-7ECE-499C-BD7F-B85AE35D7167}"/>
    <dataValidation type="list" allowBlank="1" showInputMessage="1" showErrorMessage="1" sqref="B3:B4 B6:B7 B9:B10 B12:B17" xr:uid="{5BDBE8BB-9D41-475F-BE0C-1E1B53DB41A9}">
      <formula1>PlayerName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3" name="Button 1">
              <controlPr defaultSize="0" print="0" autoFill="0" autoPict="0" macro="[0]!SubmitScores">
                <anchor moveWithCells="1" sizeWithCells="1">
                  <from>
                    <xdr:col>1</xdr:col>
                    <xdr:colOff>1112808</xdr:colOff>
                    <xdr:row>19</xdr:row>
                    <xdr:rowOff>86264</xdr:rowOff>
                  </from>
                  <to>
                    <xdr:col>3</xdr:col>
                    <xdr:colOff>750498</xdr:colOff>
                    <xdr:row>21</xdr:row>
                    <xdr:rowOff>86264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4" name="Button 2">
              <controlPr defaultSize="0" print="0" autoFill="0" autoPict="0" macro="[0]!GoToNavigation">
                <anchor moveWithCells="1" sizeWithCells="1">
                  <from>
                    <xdr:col>5</xdr:col>
                    <xdr:colOff>388189</xdr:colOff>
                    <xdr:row>0</xdr:row>
                    <xdr:rowOff>112143</xdr:rowOff>
                  </from>
                  <to>
                    <xdr:col>8</xdr:col>
                    <xdr:colOff>155275</xdr:colOff>
                    <xdr:row>0</xdr:row>
                    <xdr:rowOff>362309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0B8E8-A3B4-4DE5-9755-49FBD3BC8812}">
  <sheetPr codeName="AwayGame3"/>
  <dimension ref="A1:H21"/>
  <sheetViews>
    <sheetView workbookViewId="0">
      <selection activeCell="B1" sqref="B1:E1"/>
    </sheetView>
  </sheetViews>
  <sheetFormatPr defaultRowHeight="14.3" x14ac:dyDescent="0.25"/>
  <cols>
    <col min="1" max="1" width="16.25" style="5" customWidth="1"/>
    <col min="2" max="2" width="22" customWidth="1"/>
    <col min="3" max="4" width="11.25" customWidth="1"/>
    <col min="5" max="5" width="22" customWidth="1"/>
  </cols>
  <sheetData>
    <row r="1" spans="1:8" ht="38.75" customHeight="1" thickTop="1" thickBot="1" x14ac:dyDescent="0.3">
      <c r="A1" s="3" t="s">
        <v>22</v>
      </c>
      <c r="B1" s="69" t="s">
        <v>86</v>
      </c>
      <c r="C1" s="70"/>
      <c r="D1" s="70"/>
      <c r="E1" s="71"/>
    </row>
    <row r="2" spans="1:8" ht="15.65" customHeight="1" thickTop="1" thickBot="1" x14ac:dyDescent="0.3">
      <c r="A2"/>
      <c r="B2" s="76" t="s">
        <v>81</v>
      </c>
      <c r="C2" s="76"/>
      <c r="D2" s="76"/>
      <c r="E2" s="76"/>
    </row>
    <row r="3" spans="1:8" ht="24.45" customHeight="1" x14ac:dyDescent="0.25">
      <c r="A3" s="4" t="s">
        <v>13</v>
      </c>
      <c r="B3" s="22"/>
      <c r="C3" s="77">
        <v>2</v>
      </c>
      <c r="D3" s="79">
        <v>0</v>
      </c>
      <c r="E3" s="30" t="s">
        <v>71</v>
      </c>
    </row>
    <row r="4" spans="1:8" ht="24.45" customHeight="1" thickBot="1" x14ac:dyDescent="0.3">
      <c r="A4" s="4"/>
      <c r="B4" s="23"/>
      <c r="C4" s="78"/>
      <c r="D4" s="80"/>
      <c r="E4" s="31" t="s">
        <v>68</v>
      </c>
      <c r="G4" t="str">
        <f>IF(C3=2,"L","")</f>
        <v>L</v>
      </c>
      <c r="H4" t="str">
        <f>IF(D3=2,"W","")</f>
        <v/>
      </c>
    </row>
    <row r="5" spans="1:8" ht="11.55" customHeight="1" thickBot="1" x14ac:dyDescent="0.3"/>
    <row r="6" spans="1:8" ht="24.45" customHeight="1" x14ac:dyDescent="0.25">
      <c r="A6" s="4" t="s">
        <v>14</v>
      </c>
      <c r="B6" s="32"/>
      <c r="C6" s="72">
        <v>2</v>
      </c>
      <c r="D6" s="74">
        <v>0</v>
      </c>
      <c r="E6" s="24" t="s">
        <v>64</v>
      </c>
      <c r="G6" t="str">
        <f t="shared" ref="G6:G9" si="0">IF(C5=2,"W","")</f>
        <v/>
      </c>
      <c r="H6" t="str">
        <f t="shared" ref="H6" si="1">IF(D5=2,"L","")</f>
        <v/>
      </c>
    </row>
    <row r="7" spans="1:8" ht="24.45" customHeight="1" thickBot="1" x14ac:dyDescent="0.3">
      <c r="A7" s="4"/>
      <c r="B7" s="33"/>
      <c r="C7" s="73"/>
      <c r="D7" s="75"/>
      <c r="E7" s="25" t="s">
        <v>102</v>
      </c>
      <c r="G7" t="str">
        <f>IF(C6=2,"L","")</f>
        <v>L</v>
      </c>
      <c r="H7" t="str">
        <f>IF(D6=2,"W","")</f>
        <v/>
      </c>
    </row>
    <row r="8" spans="1:8" ht="11.55" customHeight="1" thickBot="1" x14ac:dyDescent="0.3"/>
    <row r="9" spans="1:8" ht="24.45" customHeight="1" x14ac:dyDescent="0.25">
      <c r="A9" s="4" t="s">
        <v>15</v>
      </c>
      <c r="B9" s="32"/>
      <c r="C9" s="72">
        <v>2</v>
      </c>
      <c r="D9" s="74">
        <v>0</v>
      </c>
      <c r="E9" s="24" t="s">
        <v>106</v>
      </c>
      <c r="G9" t="str">
        <f t="shared" si="0"/>
        <v/>
      </c>
    </row>
    <row r="10" spans="1:8" ht="24.45" customHeight="1" thickBot="1" x14ac:dyDescent="0.3">
      <c r="A10" s="4"/>
      <c r="B10" s="33"/>
      <c r="C10" s="73"/>
      <c r="D10" s="75"/>
      <c r="E10" s="25" t="s">
        <v>73</v>
      </c>
      <c r="G10" t="str">
        <f>IF(C9=2,"L","")</f>
        <v>L</v>
      </c>
      <c r="H10" t="str">
        <f>IF(D9=2,"W","")</f>
        <v/>
      </c>
    </row>
    <row r="11" spans="1:8" ht="11.55" customHeight="1" thickBot="1" x14ac:dyDescent="0.3"/>
    <row r="12" spans="1:8" ht="24.45" customHeight="1" thickBot="1" x14ac:dyDescent="0.3">
      <c r="A12" s="4" t="s">
        <v>16</v>
      </c>
      <c r="B12" s="36"/>
      <c r="C12" s="34">
        <v>0</v>
      </c>
      <c r="D12" s="38">
        <v>2</v>
      </c>
      <c r="E12" s="40" t="s">
        <v>79</v>
      </c>
      <c r="G12" t="str">
        <f>IF(C12=2,"L","")</f>
        <v/>
      </c>
      <c r="H12" t="str">
        <f>IF(D12=2,"W","")</f>
        <v>W</v>
      </c>
    </row>
    <row r="13" spans="1:8" ht="24.45" customHeight="1" thickBot="1" x14ac:dyDescent="0.3">
      <c r="A13" s="4" t="s">
        <v>17</v>
      </c>
      <c r="B13" s="36"/>
      <c r="C13" s="34">
        <v>2</v>
      </c>
      <c r="D13" s="38">
        <v>0</v>
      </c>
      <c r="E13" s="40" t="s">
        <v>104</v>
      </c>
      <c r="G13" t="str">
        <f t="shared" ref="G13:G17" si="2">IF(C13=2,"L","")</f>
        <v>L</v>
      </c>
      <c r="H13" t="str">
        <f t="shared" ref="H13:H17" si="3">IF(D13=2,"W","")</f>
        <v/>
      </c>
    </row>
    <row r="14" spans="1:8" ht="24.45" customHeight="1" thickBot="1" x14ac:dyDescent="0.3">
      <c r="A14" s="4" t="s">
        <v>18</v>
      </c>
      <c r="B14" s="36"/>
      <c r="C14" s="34">
        <v>2</v>
      </c>
      <c r="D14" s="38">
        <v>1</v>
      </c>
      <c r="E14" s="40" t="s">
        <v>71</v>
      </c>
      <c r="G14" t="str">
        <f t="shared" si="2"/>
        <v>L</v>
      </c>
      <c r="H14" t="str">
        <f t="shared" si="3"/>
        <v/>
      </c>
    </row>
    <row r="15" spans="1:8" ht="24.45" customHeight="1" thickBot="1" x14ac:dyDescent="0.3">
      <c r="A15" s="4" t="s">
        <v>19</v>
      </c>
      <c r="B15" s="36"/>
      <c r="C15" s="34">
        <v>2</v>
      </c>
      <c r="D15" s="38">
        <v>0</v>
      </c>
      <c r="E15" s="40" t="s">
        <v>68</v>
      </c>
      <c r="G15" t="str">
        <f t="shared" si="2"/>
        <v>L</v>
      </c>
      <c r="H15" t="str">
        <f t="shared" si="3"/>
        <v/>
      </c>
    </row>
    <row r="16" spans="1:8" ht="24.45" customHeight="1" thickBot="1" x14ac:dyDescent="0.3">
      <c r="A16" s="4" t="s">
        <v>20</v>
      </c>
      <c r="B16" s="36"/>
      <c r="C16" s="34">
        <v>0</v>
      </c>
      <c r="D16" s="38">
        <v>2</v>
      </c>
      <c r="E16" s="40" t="s">
        <v>73</v>
      </c>
      <c r="G16" t="str">
        <f t="shared" si="2"/>
        <v/>
      </c>
      <c r="H16" t="str">
        <f t="shared" si="3"/>
        <v>W</v>
      </c>
    </row>
    <row r="17" spans="1:8" ht="24.45" customHeight="1" thickBot="1" x14ac:dyDescent="0.3">
      <c r="A17" s="4" t="s">
        <v>21</v>
      </c>
      <c r="B17" s="37"/>
      <c r="C17" s="35">
        <v>0</v>
      </c>
      <c r="D17" s="39">
        <v>2</v>
      </c>
      <c r="E17" s="41" t="s">
        <v>64</v>
      </c>
      <c r="G17" t="str">
        <f t="shared" si="2"/>
        <v/>
      </c>
      <c r="H17" t="str">
        <f t="shared" si="3"/>
        <v>W</v>
      </c>
    </row>
    <row r="18" spans="1:8" x14ac:dyDescent="0.25">
      <c r="C18" s="4">
        <f>COUNTIF(G3:G17,"L")</f>
        <v>6</v>
      </c>
      <c r="D18" s="4">
        <f>COUNTIF(H3:H17,"W")</f>
        <v>3</v>
      </c>
    </row>
    <row r="21" spans="1:8" ht="18.350000000000001" x14ac:dyDescent="0.3">
      <c r="E21" s="47" t="s">
        <v>97</v>
      </c>
    </row>
  </sheetData>
  <sheetProtection selectLockedCells="1"/>
  <mergeCells count="8">
    <mergeCell ref="C9:C10"/>
    <mergeCell ref="D9:D10"/>
    <mergeCell ref="B1:E1"/>
    <mergeCell ref="B2:E2"/>
    <mergeCell ref="C3:C4"/>
    <mergeCell ref="D3:D4"/>
    <mergeCell ref="C6:C7"/>
    <mergeCell ref="D6:D7"/>
  </mergeCells>
  <dataValidations count="3">
    <dataValidation type="textLength" allowBlank="1" showInputMessage="1" showErrorMessage="1" promptTitle="No Entry" prompt="Erroneous entry" sqref="B3:B4 B6:B7 B9:B10 B12:B17" xr:uid="{CB814028-41F4-4B27-BE70-34DC8B9C779B}">
      <formula1>0</formula1>
      <formula2>0</formula2>
    </dataValidation>
    <dataValidation type="list" allowBlank="1" showInputMessage="1" showErrorMessage="1" sqref="E12:E17 E3:E4 E6:E7 E9:E10" xr:uid="{8334844A-B60E-404D-8243-FA8078159C95}">
      <formula1>PlayerName</formula1>
    </dataValidation>
    <dataValidation allowBlank="1" showInputMessage="1" showErrorMessage="1" sqref="C6:D7 C9:D10 C12:D17" xr:uid="{88711433-BBC5-472D-BEB0-61564D5CF040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Button 1">
              <controlPr defaultSize="0" print="0" autoFill="0" autoPict="0" macro="[0]!SubmitScores">
                <anchor moveWithCells="1" sizeWithCells="1">
                  <from>
                    <xdr:col>1</xdr:col>
                    <xdr:colOff>1009291</xdr:colOff>
                    <xdr:row>19</xdr:row>
                    <xdr:rowOff>8626</xdr:rowOff>
                  </from>
                  <to>
                    <xdr:col>3</xdr:col>
                    <xdr:colOff>646981</xdr:colOff>
                    <xdr:row>21</xdr:row>
                    <xdr:rowOff>8626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Button 2">
              <controlPr defaultSize="0" print="0" autoFill="0" autoPict="0" macro="[0]!GoToNavigation">
                <anchor moveWithCells="1" sizeWithCells="1">
                  <from>
                    <xdr:col>5</xdr:col>
                    <xdr:colOff>431321</xdr:colOff>
                    <xdr:row>0</xdr:row>
                    <xdr:rowOff>103517</xdr:rowOff>
                  </from>
                  <to>
                    <xdr:col>8</xdr:col>
                    <xdr:colOff>198408</xdr:colOff>
                    <xdr:row>0</xdr:row>
                    <xdr:rowOff>353683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BDA14-3FC7-4B06-898D-9E385D39C5F7}">
  <sheetPr codeName="HomeGame2"/>
  <dimension ref="A1:H18"/>
  <sheetViews>
    <sheetView workbookViewId="0">
      <selection activeCell="G5" sqref="G5"/>
    </sheetView>
  </sheetViews>
  <sheetFormatPr defaultRowHeight="14.3" x14ac:dyDescent="0.25"/>
  <cols>
    <col min="1" max="1" width="16.25" style="5" customWidth="1"/>
    <col min="2" max="2" width="22" customWidth="1"/>
    <col min="3" max="4" width="11.25" customWidth="1"/>
    <col min="5" max="5" width="22" customWidth="1"/>
  </cols>
  <sheetData>
    <row r="1" spans="1:8" ht="38.75" customHeight="1" thickTop="1" thickBot="1" x14ac:dyDescent="0.3">
      <c r="A1" s="3" t="s">
        <v>22</v>
      </c>
      <c r="B1" s="69" t="s">
        <v>87</v>
      </c>
      <c r="C1" s="70"/>
      <c r="D1" s="70"/>
      <c r="E1" s="71"/>
    </row>
    <row r="2" spans="1:8" ht="15.65" customHeight="1" thickTop="1" thickBot="1" x14ac:dyDescent="0.3">
      <c r="A2"/>
      <c r="B2" s="83" t="s">
        <v>82</v>
      </c>
      <c r="C2" s="83"/>
      <c r="D2" s="83"/>
      <c r="E2" s="83"/>
    </row>
    <row r="3" spans="1:8" ht="24.45" customHeight="1" x14ac:dyDescent="0.25">
      <c r="A3" s="4" t="s">
        <v>13</v>
      </c>
      <c r="B3" s="17"/>
      <c r="C3" s="81"/>
      <c r="D3" s="81"/>
      <c r="E3" s="19"/>
    </row>
    <row r="4" spans="1:8" ht="24.45" customHeight="1" thickBot="1" x14ac:dyDescent="0.3">
      <c r="A4" s="4"/>
      <c r="B4" s="18"/>
      <c r="C4" s="82"/>
      <c r="D4" s="82"/>
      <c r="E4" s="20"/>
      <c r="G4" t="str">
        <f>IF(C3=2,"W","")</f>
        <v/>
      </c>
      <c r="H4" t="str">
        <f>IF(D3=2,"L","")</f>
        <v/>
      </c>
    </row>
    <row r="5" spans="1:8" ht="11.55" customHeight="1" thickBot="1" x14ac:dyDescent="0.3">
      <c r="H5" t="str">
        <f t="shared" ref="H5:H11" si="0">IF(D4=2,"L","")</f>
        <v/>
      </c>
    </row>
    <row r="6" spans="1:8" ht="24.45" customHeight="1" x14ac:dyDescent="0.25">
      <c r="A6" s="4" t="s">
        <v>14</v>
      </c>
      <c r="B6" s="17"/>
      <c r="C6" s="81"/>
      <c r="D6" s="81"/>
      <c r="E6" s="19"/>
      <c r="G6" t="str">
        <f t="shared" ref="G6:G9" si="1">IF(C5=2,"W","")</f>
        <v/>
      </c>
      <c r="H6" t="str">
        <f t="shared" si="0"/>
        <v/>
      </c>
    </row>
    <row r="7" spans="1:8" ht="24.45" customHeight="1" thickBot="1" x14ac:dyDescent="0.3">
      <c r="A7" s="4"/>
      <c r="B7" s="18"/>
      <c r="C7" s="82"/>
      <c r="D7" s="82"/>
      <c r="E7" s="20"/>
      <c r="G7" t="str">
        <f>IF(C6=2,"W","")</f>
        <v/>
      </c>
      <c r="H7" t="str">
        <f>IF(D6=2,"L","")</f>
        <v/>
      </c>
    </row>
    <row r="8" spans="1:8" ht="11.55" customHeight="1" thickBot="1" x14ac:dyDescent="0.3">
      <c r="H8" t="str">
        <f t="shared" si="0"/>
        <v/>
      </c>
    </row>
    <row r="9" spans="1:8" ht="24.45" customHeight="1" x14ac:dyDescent="0.25">
      <c r="A9" s="4" t="s">
        <v>15</v>
      </c>
      <c r="B9" s="17"/>
      <c r="C9" s="81"/>
      <c r="D9" s="81"/>
      <c r="E9" s="19"/>
      <c r="G9" t="str">
        <f t="shared" si="1"/>
        <v/>
      </c>
      <c r="H9" t="str">
        <f t="shared" si="0"/>
        <v/>
      </c>
    </row>
    <row r="10" spans="1:8" ht="24.45" customHeight="1" thickBot="1" x14ac:dyDescent="0.3">
      <c r="A10" s="4"/>
      <c r="B10" s="18"/>
      <c r="C10" s="82"/>
      <c r="D10" s="82"/>
      <c r="E10" s="20"/>
      <c r="G10" t="str">
        <f>IF(C9=2,"W","")</f>
        <v/>
      </c>
      <c r="H10" t="str">
        <f t="shared" si="0"/>
        <v/>
      </c>
    </row>
    <row r="11" spans="1:8" ht="11.55" customHeight="1" thickBot="1" x14ac:dyDescent="0.3">
      <c r="H11" t="str">
        <f t="shared" si="0"/>
        <v/>
      </c>
    </row>
    <row r="12" spans="1:8" ht="24.45" customHeight="1" thickBot="1" x14ac:dyDescent="0.3">
      <c r="A12" s="4" t="s">
        <v>16</v>
      </c>
      <c r="B12" s="26"/>
      <c r="C12" s="27"/>
      <c r="D12" s="28"/>
      <c r="E12" s="29"/>
      <c r="G12" t="str">
        <f>IF(C12=2,"W","")</f>
        <v/>
      </c>
      <c r="H12" t="str">
        <f>IF(D12=2,"L","")</f>
        <v/>
      </c>
    </row>
    <row r="13" spans="1:8" ht="24.45" customHeight="1" thickBot="1" x14ac:dyDescent="0.3">
      <c r="A13" s="4" t="s">
        <v>17</v>
      </c>
      <c r="B13" s="26"/>
      <c r="C13" s="27"/>
      <c r="D13" s="28"/>
      <c r="E13" s="29"/>
      <c r="G13" t="str">
        <f t="shared" ref="G13:G17" si="2">IF(C13=2,"W","")</f>
        <v/>
      </c>
      <c r="H13" t="str">
        <f t="shared" ref="H13:H17" si="3">IF(D13=2,"L","")</f>
        <v/>
      </c>
    </row>
    <row r="14" spans="1:8" ht="24.45" customHeight="1" thickBot="1" x14ac:dyDescent="0.3">
      <c r="A14" s="4" t="s">
        <v>18</v>
      </c>
      <c r="B14" s="26"/>
      <c r="C14" s="27"/>
      <c r="D14" s="28"/>
      <c r="E14" s="29"/>
      <c r="G14" t="str">
        <f t="shared" si="2"/>
        <v/>
      </c>
      <c r="H14" t="str">
        <f t="shared" si="3"/>
        <v/>
      </c>
    </row>
    <row r="15" spans="1:8" ht="24.45" customHeight="1" thickBot="1" x14ac:dyDescent="0.3">
      <c r="A15" s="4" t="s">
        <v>19</v>
      </c>
      <c r="B15" s="26"/>
      <c r="C15" s="27"/>
      <c r="D15" s="28"/>
      <c r="E15" s="29"/>
      <c r="G15" t="str">
        <f t="shared" si="2"/>
        <v/>
      </c>
      <c r="H15" t="str">
        <f t="shared" si="3"/>
        <v/>
      </c>
    </row>
    <row r="16" spans="1:8" ht="24.45" customHeight="1" thickBot="1" x14ac:dyDescent="0.3">
      <c r="A16" s="4" t="s">
        <v>20</v>
      </c>
      <c r="B16" s="26"/>
      <c r="C16" s="27"/>
      <c r="D16" s="28"/>
      <c r="E16" s="29"/>
      <c r="G16" t="str">
        <f t="shared" si="2"/>
        <v/>
      </c>
      <c r="H16" t="str">
        <f t="shared" si="3"/>
        <v/>
      </c>
    </row>
    <row r="17" spans="1:8" ht="24.45" customHeight="1" thickBot="1" x14ac:dyDescent="0.3">
      <c r="A17" s="4" t="s">
        <v>21</v>
      </c>
      <c r="B17" s="26"/>
      <c r="C17" s="27"/>
      <c r="D17" s="28"/>
      <c r="E17" s="29"/>
      <c r="G17" t="str">
        <f t="shared" si="2"/>
        <v/>
      </c>
      <c r="H17" t="str">
        <f t="shared" si="3"/>
        <v/>
      </c>
    </row>
    <row r="18" spans="1:8" x14ac:dyDescent="0.25">
      <c r="C18" s="4">
        <f>COUNTIF(G3:G17,"W")</f>
        <v>0</v>
      </c>
      <c r="D18" s="4">
        <f>COUNTIF(H3:H17,"L")</f>
        <v>0</v>
      </c>
    </row>
  </sheetData>
  <mergeCells count="8">
    <mergeCell ref="C9:C10"/>
    <mergeCell ref="D9:D10"/>
    <mergeCell ref="B1:E1"/>
    <mergeCell ref="B2:E2"/>
    <mergeCell ref="C3:C4"/>
    <mergeCell ref="D3:D4"/>
    <mergeCell ref="C6:C7"/>
    <mergeCell ref="D6:D7"/>
  </mergeCells>
  <dataValidations count="3">
    <dataValidation type="textLength" allowBlank="1" showInputMessage="1" showErrorMessage="1" promptTitle="No Entry" prompt="Erroneous entry" sqref="E3:E4 E6:E7 E9:E10 E12:E17" xr:uid="{896F1875-FD2C-42D6-94CE-F8C8FFE2F796}">
      <formula1>0</formula1>
      <formula2>0</formula2>
    </dataValidation>
    <dataValidation allowBlank="1" showInputMessage="1" showErrorMessage="1" sqref="C6:D7 C9:D10 C12:D17" xr:uid="{481C250E-6B8A-40EF-8406-76094381FAC6}"/>
    <dataValidation type="list" allowBlank="1" showInputMessage="1" showErrorMessage="1" sqref="B3:B4 B6:B7 B9:B10 B12:B17" xr:uid="{50682EA7-7FA9-40E8-877D-073EA6F01A9C}">
      <formula1>PlayerName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Button 1">
              <controlPr defaultSize="0" print="0" autoFill="0" autoPict="0" macro="[0]!SubmitScores">
                <anchor moveWithCells="1" sizeWithCells="1">
                  <from>
                    <xdr:col>1</xdr:col>
                    <xdr:colOff>1112808</xdr:colOff>
                    <xdr:row>19</xdr:row>
                    <xdr:rowOff>86264</xdr:rowOff>
                  </from>
                  <to>
                    <xdr:col>3</xdr:col>
                    <xdr:colOff>750498</xdr:colOff>
                    <xdr:row>21</xdr:row>
                    <xdr:rowOff>86264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4" name="Button 2">
              <controlPr defaultSize="0" print="0" autoFill="0" autoPict="0" macro="[0]!GoToNavigation">
                <anchor moveWithCells="1" sizeWithCells="1">
                  <from>
                    <xdr:col>5</xdr:col>
                    <xdr:colOff>388189</xdr:colOff>
                    <xdr:row>0</xdr:row>
                    <xdr:rowOff>112143</xdr:rowOff>
                  </from>
                  <to>
                    <xdr:col>8</xdr:col>
                    <xdr:colOff>155275</xdr:colOff>
                    <xdr:row>0</xdr:row>
                    <xdr:rowOff>362309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4425E-75C9-4491-BA1C-91E9AB93F3B4}">
  <sheetPr codeName="HomeGame3"/>
  <dimension ref="A1:H18"/>
  <sheetViews>
    <sheetView workbookViewId="0">
      <selection activeCell="G5" sqref="G5"/>
    </sheetView>
  </sheetViews>
  <sheetFormatPr defaultRowHeight="14.3" x14ac:dyDescent="0.25"/>
  <cols>
    <col min="1" max="1" width="16.25" style="5" customWidth="1"/>
    <col min="2" max="2" width="22" customWidth="1"/>
    <col min="3" max="4" width="11.25" customWidth="1"/>
    <col min="5" max="5" width="22" customWidth="1"/>
  </cols>
  <sheetData>
    <row r="1" spans="1:8" ht="38.75" customHeight="1" thickTop="1" thickBot="1" x14ac:dyDescent="0.3">
      <c r="A1" s="3" t="s">
        <v>22</v>
      </c>
      <c r="B1" s="69" t="s">
        <v>88</v>
      </c>
      <c r="C1" s="70"/>
      <c r="D1" s="70"/>
      <c r="E1" s="71"/>
    </row>
    <row r="2" spans="1:8" ht="15.65" customHeight="1" thickTop="1" thickBot="1" x14ac:dyDescent="0.3">
      <c r="A2"/>
      <c r="B2" s="83" t="s">
        <v>82</v>
      </c>
      <c r="C2" s="83"/>
      <c r="D2" s="83"/>
      <c r="E2" s="83"/>
    </row>
    <row r="3" spans="1:8" ht="24.45" customHeight="1" x14ac:dyDescent="0.25">
      <c r="A3" s="4" t="s">
        <v>13</v>
      </c>
      <c r="B3" s="17"/>
      <c r="C3" s="81"/>
      <c r="D3" s="81"/>
      <c r="E3" s="19"/>
    </row>
    <row r="4" spans="1:8" ht="24.45" customHeight="1" thickBot="1" x14ac:dyDescent="0.3">
      <c r="A4" s="4"/>
      <c r="B4" s="18"/>
      <c r="C4" s="82"/>
      <c r="D4" s="82"/>
      <c r="E4" s="20"/>
      <c r="G4" t="str">
        <f>IF(C3=2,"W","")</f>
        <v/>
      </c>
      <c r="H4" t="str">
        <f>IF(D3=2,"L","")</f>
        <v/>
      </c>
    </row>
    <row r="5" spans="1:8" ht="11.55" customHeight="1" thickBot="1" x14ac:dyDescent="0.3">
      <c r="H5" t="str">
        <f t="shared" ref="H5:H11" si="0">IF(D4=2,"L","")</f>
        <v/>
      </c>
    </row>
    <row r="6" spans="1:8" ht="24.45" customHeight="1" x14ac:dyDescent="0.25">
      <c r="A6" s="4" t="s">
        <v>14</v>
      </c>
      <c r="B6" s="17"/>
      <c r="C6" s="81"/>
      <c r="D6" s="81"/>
      <c r="E6" s="19"/>
      <c r="G6" t="str">
        <f t="shared" ref="G6:G9" si="1">IF(C5=2,"W","")</f>
        <v/>
      </c>
      <c r="H6" t="str">
        <f t="shared" si="0"/>
        <v/>
      </c>
    </row>
    <row r="7" spans="1:8" ht="24.45" customHeight="1" thickBot="1" x14ac:dyDescent="0.3">
      <c r="A7" s="4"/>
      <c r="B7" s="18"/>
      <c r="C7" s="82"/>
      <c r="D7" s="82"/>
      <c r="E7" s="20"/>
      <c r="G7" t="str">
        <f>IF(C6=2,"W","")</f>
        <v/>
      </c>
      <c r="H7" t="str">
        <f>IF(D6=2,"L","")</f>
        <v/>
      </c>
    </row>
    <row r="8" spans="1:8" ht="11.55" customHeight="1" thickBot="1" x14ac:dyDescent="0.3">
      <c r="H8" t="str">
        <f t="shared" si="0"/>
        <v/>
      </c>
    </row>
    <row r="9" spans="1:8" ht="24.45" customHeight="1" x14ac:dyDescent="0.25">
      <c r="A9" s="4" t="s">
        <v>15</v>
      </c>
      <c r="B9" s="17"/>
      <c r="C9" s="81"/>
      <c r="D9" s="81"/>
      <c r="E9" s="19"/>
      <c r="G9" t="str">
        <f t="shared" si="1"/>
        <v/>
      </c>
      <c r="H9" t="str">
        <f t="shared" si="0"/>
        <v/>
      </c>
    </row>
    <row r="10" spans="1:8" ht="24.45" customHeight="1" thickBot="1" x14ac:dyDescent="0.3">
      <c r="A10" s="4"/>
      <c r="B10" s="18"/>
      <c r="C10" s="82"/>
      <c r="D10" s="82"/>
      <c r="E10" s="20"/>
      <c r="G10" t="str">
        <f>IF(C9=2,"W","")</f>
        <v/>
      </c>
      <c r="H10" t="str">
        <f t="shared" si="0"/>
        <v/>
      </c>
    </row>
    <row r="11" spans="1:8" ht="11.55" customHeight="1" thickBot="1" x14ac:dyDescent="0.3">
      <c r="H11" t="str">
        <f t="shared" si="0"/>
        <v/>
      </c>
    </row>
    <row r="12" spans="1:8" ht="24.45" customHeight="1" thickBot="1" x14ac:dyDescent="0.3">
      <c r="A12" s="4" t="s">
        <v>16</v>
      </c>
      <c r="B12" s="26"/>
      <c r="C12" s="27"/>
      <c r="D12" s="28"/>
      <c r="E12" s="29"/>
      <c r="G12" t="str">
        <f>IF(C12=2,"W","")</f>
        <v/>
      </c>
      <c r="H12" t="str">
        <f>IF(D12=2,"L","")</f>
        <v/>
      </c>
    </row>
    <row r="13" spans="1:8" ht="24.45" customHeight="1" thickBot="1" x14ac:dyDescent="0.3">
      <c r="A13" s="4" t="s">
        <v>17</v>
      </c>
      <c r="B13" s="26"/>
      <c r="C13" s="27"/>
      <c r="D13" s="28"/>
      <c r="E13" s="29"/>
      <c r="G13" t="str">
        <f t="shared" ref="G13:G17" si="2">IF(C13=2,"W","")</f>
        <v/>
      </c>
      <c r="H13" t="str">
        <f t="shared" ref="H13:H17" si="3">IF(D13=2,"L","")</f>
        <v/>
      </c>
    </row>
    <row r="14" spans="1:8" ht="24.45" customHeight="1" thickBot="1" x14ac:dyDescent="0.3">
      <c r="A14" s="4" t="s">
        <v>18</v>
      </c>
      <c r="B14" s="26"/>
      <c r="C14" s="27"/>
      <c r="D14" s="28"/>
      <c r="E14" s="29"/>
      <c r="G14" t="str">
        <f t="shared" si="2"/>
        <v/>
      </c>
      <c r="H14" t="str">
        <f t="shared" si="3"/>
        <v/>
      </c>
    </row>
    <row r="15" spans="1:8" ht="24.45" customHeight="1" thickBot="1" x14ac:dyDescent="0.3">
      <c r="A15" s="4" t="s">
        <v>19</v>
      </c>
      <c r="B15" s="26"/>
      <c r="C15" s="27"/>
      <c r="D15" s="28"/>
      <c r="E15" s="29"/>
      <c r="G15" t="str">
        <f t="shared" si="2"/>
        <v/>
      </c>
      <c r="H15" t="str">
        <f t="shared" si="3"/>
        <v/>
      </c>
    </row>
    <row r="16" spans="1:8" ht="24.45" customHeight="1" thickBot="1" x14ac:dyDescent="0.3">
      <c r="A16" s="4" t="s">
        <v>20</v>
      </c>
      <c r="B16" s="26"/>
      <c r="C16" s="27"/>
      <c r="D16" s="28"/>
      <c r="E16" s="29"/>
      <c r="G16" t="str">
        <f t="shared" si="2"/>
        <v/>
      </c>
      <c r="H16" t="str">
        <f t="shared" si="3"/>
        <v/>
      </c>
    </row>
    <row r="17" spans="1:8" ht="24.45" customHeight="1" thickBot="1" x14ac:dyDescent="0.3">
      <c r="A17" s="4" t="s">
        <v>21</v>
      </c>
      <c r="B17" s="26"/>
      <c r="C17" s="27"/>
      <c r="D17" s="28"/>
      <c r="E17" s="29"/>
      <c r="G17" t="str">
        <f t="shared" si="2"/>
        <v/>
      </c>
      <c r="H17" t="str">
        <f t="shared" si="3"/>
        <v/>
      </c>
    </row>
    <row r="18" spans="1:8" x14ac:dyDescent="0.25">
      <c r="C18" s="4">
        <f>COUNTIF(G3:G17,"W")</f>
        <v>0</v>
      </c>
      <c r="D18" s="4">
        <f>COUNTIF(H3:H17,"L")</f>
        <v>0</v>
      </c>
    </row>
  </sheetData>
  <mergeCells count="8">
    <mergeCell ref="C9:C10"/>
    <mergeCell ref="D9:D10"/>
    <mergeCell ref="B1:E1"/>
    <mergeCell ref="B2:E2"/>
    <mergeCell ref="C3:C4"/>
    <mergeCell ref="D3:D4"/>
    <mergeCell ref="C6:C7"/>
    <mergeCell ref="D6:D7"/>
  </mergeCells>
  <dataValidations count="3">
    <dataValidation type="textLength" allowBlank="1" showInputMessage="1" showErrorMessage="1" promptTitle="No Entry" prompt="Erroneous entry" sqref="E3:E4 E6:E7 E9:E10 E12:E17" xr:uid="{A4BDA807-9490-4F65-80CD-75D169C9E0BC}">
      <formula1>0</formula1>
      <formula2>0</formula2>
    </dataValidation>
    <dataValidation allowBlank="1" showInputMessage="1" showErrorMessage="1" sqref="C6:D7 C9:D10 C12:D17" xr:uid="{13F01EFA-530A-4808-BE79-D6746BB61202}"/>
    <dataValidation type="list" allowBlank="1" showInputMessage="1" showErrorMessage="1" sqref="B3:B4 B6:B7 B9:B10 B12:B17" xr:uid="{4754CBEA-858F-483F-BA37-6A1BBB81D89A}">
      <formula1>PlayerName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Button 1">
              <controlPr defaultSize="0" print="0" autoFill="0" autoPict="0" macro="[0]!SubmitScores">
                <anchor moveWithCells="1" sizeWithCells="1">
                  <from>
                    <xdr:col>1</xdr:col>
                    <xdr:colOff>1112808</xdr:colOff>
                    <xdr:row>19</xdr:row>
                    <xdr:rowOff>86264</xdr:rowOff>
                  </from>
                  <to>
                    <xdr:col>3</xdr:col>
                    <xdr:colOff>750498</xdr:colOff>
                    <xdr:row>21</xdr:row>
                    <xdr:rowOff>86264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Button 2">
              <controlPr defaultSize="0" print="0" autoFill="0" autoPict="0" macro="[0]!GoToNavigation">
                <anchor moveWithCells="1" sizeWithCells="1">
                  <from>
                    <xdr:col>5</xdr:col>
                    <xdr:colOff>388189</xdr:colOff>
                    <xdr:row>0</xdr:row>
                    <xdr:rowOff>112143</xdr:rowOff>
                  </from>
                  <to>
                    <xdr:col>8</xdr:col>
                    <xdr:colOff>155275</xdr:colOff>
                    <xdr:row>0</xdr:row>
                    <xdr:rowOff>362309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00C60-B09D-4027-A293-D6716A749EB9}">
  <sheetPr codeName="HomeGame4"/>
  <dimension ref="A1:H18"/>
  <sheetViews>
    <sheetView workbookViewId="0">
      <selection activeCell="G5" sqref="G5"/>
    </sheetView>
  </sheetViews>
  <sheetFormatPr defaultRowHeight="14.3" x14ac:dyDescent="0.25"/>
  <cols>
    <col min="1" max="1" width="16.25" style="5" customWidth="1"/>
    <col min="2" max="2" width="22" customWidth="1"/>
    <col min="3" max="4" width="11.25" customWidth="1"/>
    <col min="5" max="5" width="22" customWidth="1"/>
  </cols>
  <sheetData>
    <row r="1" spans="1:8" ht="38.75" customHeight="1" thickTop="1" thickBot="1" x14ac:dyDescent="0.3">
      <c r="A1" s="3" t="s">
        <v>22</v>
      </c>
      <c r="B1" s="69" t="s">
        <v>89</v>
      </c>
      <c r="C1" s="70"/>
      <c r="D1" s="70"/>
      <c r="E1" s="71"/>
    </row>
    <row r="2" spans="1:8" ht="15.65" customHeight="1" thickTop="1" thickBot="1" x14ac:dyDescent="0.3">
      <c r="A2"/>
      <c r="B2" s="83" t="s">
        <v>82</v>
      </c>
      <c r="C2" s="83"/>
      <c r="D2" s="83"/>
      <c r="E2" s="83"/>
    </row>
    <row r="3" spans="1:8" ht="24.45" customHeight="1" x14ac:dyDescent="0.25">
      <c r="A3" s="4" t="s">
        <v>13</v>
      </c>
      <c r="B3" s="17"/>
      <c r="C3" s="81"/>
      <c r="D3" s="81"/>
      <c r="E3" s="19"/>
    </row>
    <row r="4" spans="1:8" ht="24.45" customHeight="1" thickBot="1" x14ac:dyDescent="0.3">
      <c r="A4" s="4"/>
      <c r="B4" s="18"/>
      <c r="C4" s="82"/>
      <c r="D4" s="82"/>
      <c r="E4" s="20"/>
      <c r="G4" t="str">
        <f>IF(C3=2,"W","")</f>
        <v/>
      </c>
      <c r="H4" t="str">
        <f>IF(D3=2,"L","")</f>
        <v/>
      </c>
    </row>
    <row r="5" spans="1:8" ht="11.55" customHeight="1" thickBot="1" x14ac:dyDescent="0.3">
      <c r="H5" t="str">
        <f t="shared" ref="H5:H11" si="0">IF(D4=2,"L","")</f>
        <v/>
      </c>
    </row>
    <row r="6" spans="1:8" ht="24.45" customHeight="1" x14ac:dyDescent="0.25">
      <c r="A6" s="4" t="s">
        <v>14</v>
      </c>
      <c r="B6" s="17"/>
      <c r="C6" s="81"/>
      <c r="D6" s="81"/>
      <c r="E6" s="19"/>
      <c r="G6" t="str">
        <f t="shared" ref="G6:G9" si="1">IF(C5=2,"W","")</f>
        <v/>
      </c>
      <c r="H6" t="str">
        <f t="shared" si="0"/>
        <v/>
      </c>
    </row>
    <row r="7" spans="1:8" ht="24.45" customHeight="1" thickBot="1" x14ac:dyDescent="0.3">
      <c r="A7" s="4"/>
      <c r="B7" s="18"/>
      <c r="C7" s="82"/>
      <c r="D7" s="82"/>
      <c r="E7" s="20"/>
      <c r="G7" t="str">
        <f>IF(C6=2,"W","")</f>
        <v/>
      </c>
      <c r="H7" t="str">
        <f>IF(D6=2,"L","")</f>
        <v/>
      </c>
    </row>
    <row r="8" spans="1:8" ht="11.55" customHeight="1" thickBot="1" x14ac:dyDescent="0.3">
      <c r="H8" t="str">
        <f t="shared" si="0"/>
        <v/>
      </c>
    </row>
    <row r="9" spans="1:8" ht="24.45" customHeight="1" x14ac:dyDescent="0.25">
      <c r="A9" s="4" t="s">
        <v>15</v>
      </c>
      <c r="B9" s="17"/>
      <c r="C9" s="81"/>
      <c r="D9" s="81"/>
      <c r="E9" s="19"/>
      <c r="G9" t="str">
        <f t="shared" si="1"/>
        <v/>
      </c>
      <c r="H9" t="str">
        <f t="shared" si="0"/>
        <v/>
      </c>
    </row>
    <row r="10" spans="1:8" ht="24.45" customHeight="1" thickBot="1" x14ac:dyDescent="0.3">
      <c r="A10" s="4"/>
      <c r="B10" s="18"/>
      <c r="C10" s="82"/>
      <c r="D10" s="82"/>
      <c r="E10" s="20"/>
      <c r="G10" t="str">
        <f>IF(C9=2,"W","")</f>
        <v/>
      </c>
      <c r="H10" t="str">
        <f t="shared" si="0"/>
        <v/>
      </c>
    </row>
    <row r="11" spans="1:8" ht="11.55" customHeight="1" thickBot="1" x14ac:dyDescent="0.3">
      <c r="H11" t="str">
        <f t="shared" si="0"/>
        <v/>
      </c>
    </row>
    <row r="12" spans="1:8" ht="24.45" customHeight="1" thickBot="1" x14ac:dyDescent="0.3">
      <c r="A12" s="4" t="s">
        <v>16</v>
      </c>
      <c r="B12" s="26"/>
      <c r="C12" s="27"/>
      <c r="D12" s="28"/>
      <c r="E12" s="29"/>
      <c r="G12" t="str">
        <f>IF(C12=2,"W","")</f>
        <v/>
      </c>
      <c r="H12" t="str">
        <f>IF(D12=2,"L","")</f>
        <v/>
      </c>
    </row>
    <row r="13" spans="1:8" ht="24.45" customHeight="1" thickBot="1" x14ac:dyDescent="0.3">
      <c r="A13" s="4" t="s">
        <v>17</v>
      </c>
      <c r="B13" s="26"/>
      <c r="C13" s="27"/>
      <c r="D13" s="28"/>
      <c r="E13" s="29"/>
      <c r="G13" t="str">
        <f t="shared" ref="G13:G17" si="2">IF(C13=2,"W","")</f>
        <v/>
      </c>
      <c r="H13" t="str">
        <f t="shared" ref="H13:H17" si="3">IF(D13=2,"L","")</f>
        <v/>
      </c>
    </row>
    <row r="14" spans="1:8" ht="24.45" customHeight="1" thickBot="1" x14ac:dyDescent="0.3">
      <c r="A14" s="4" t="s">
        <v>18</v>
      </c>
      <c r="B14" s="26"/>
      <c r="C14" s="27"/>
      <c r="D14" s="28"/>
      <c r="E14" s="29"/>
      <c r="G14" t="str">
        <f t="shared" si="2"/>
        <v/>
      </c>
      <c r="H14" t="str">
        <f t="shared" si="3"/>
        <v/>
      </c>
    </row>
    <row r="15" spans="1:8" ht="24.45" customHeight="1" thickBot="1" x14ac:dyDescent="0.3">
      <c r="A15" s="4" t="s">
        <v>19</v>
      </c>
      <c r="B15" s="26"/>
      <c r="C15" s="27"/>
      <c r="D15" s="28"/>
      <c r="E15" s="29"/>
      <c r="G15" t="str">
        <f t="shared" si="2"/>
        <v/>
      </c>
      <c r="H15" t="str">
        <f t="shared" si="3"/>
        <v/>
      </c>
    </row>
    <row r="16" spans="1:8" ht="24.45" customHeight="1" thickBot="1" x14ac:dyDescent="0.3">
      <c r="A16" s="4" t="s">
        <v>20</v>
      </c>
      <c r="B16" s="26"/>
      <c r="C16" s="27"/>
      <c r="D16" s="28"/>
      <c r="E16" s="29"/>
      <c r="G16" t="str">
        <f t="shared" si="2"/>
        <v/>
      </c>
      <c r="H16" t="str">
        <f t="shared" si="3"/>
        <v/>
      </c>
    </row>
    <row r="17" spans="1:8" ht="24.45" customHeight="1" thickBot="1" x14ac:dyDescent="0.3">
      <c r="A17" s="4" t="s">
        <v>21</v>
      </c>
      <c r="B17" s="26"/>
      <c r="C17" s="27"/>
      <c r="D17" s="28"/>
      <c r="E17" s="29"/>
      <c r="G17" t="str">
        <f t="shared" si="2"/>
        <v/>
      </c>
      <c r="H17" t="str">
        <f t="shared" si="3"/>
        <v/>
      </c>
    </row>
    <row r="18" spans="1:8" x14ac:dyDescent="0.25">
      <c r="C18" s="4">
        <f>COUNTIF(G3:G17,"W")</f>
        <v>0</v>
      </c>
      <c r="D18" s="4">
        <f>COUNTIF(H3:H17,"L")</f>
        <v>0</v>
      </c>
    </row>
  </sheetData>
  <mergeCells count="8">
    <mergeCell ref="C9:C10"/>
    <mergeCell ref="D9:D10"/>
    <mergeCell ref="B1:E1"/>
    <mergeCell ref="B2:E2"/>
    <mergeCell ref="C3:C4"/>
    <mergeCell ref="D3:D4"/>
    <mergeCell ref="C6:C7"/>
    <mergeCell ref="D6:D7"/>
  </mergeCells>
  <dataValidations count="3">
    <dataValidation type="textLength" allowBlank="1" showInputMessage="1" showErrorMessage="1" promptTitle="No Entry" prompt="Erroneous entry" sqref="E3:E4 E6:E7 E9:E10 E12:E17" xr:uid="{07ED566A-7E4E-4097-B909-1590F45BB849}">
      <formula1>0</formula1>
      <formula2>0</formula2>
    </dataValidation>
    <dataValidation allowBlank="1" showInputMessage="1" showErrorMessage="1" sqref="C6:D7 C9:D10 C12:D17" xr:uid="{D6BF2A97-3D69-4B5D-B332-C836AC951DC9}"/>
    <dataValidation type="list" allowBlank="1" showInputMessage="1" showErrorMessage="1" sqref="B3:B4 B6:B7 B9:B10 B12:B17" xr:uid="{E4D59919-321A-4F90-9D96-37F2379D6B88}">
      <formula1>PlayerName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3" name="Button 1">
              <controlPr defaultSize="0" print="0" autoFill="0" autoPict="0" macro="[0]!SubmitScores">
                <anchor moveWithCells="1" sizeWithCells="1">
                  <from>
                    <xdr:col>1</xdr:col>
                    <xdr:colOff>1112808</xdr:colOff>
                    <xdr:row>19</xdr:row>
                    <xdr:rowOff>86264</xdr:rowOff>
                  </from>
                  <to>
                    <xdr:col>3</xdr:col>
                    <xdr:colOff>750498</xdr:colOff>
                    <xdr:row>21</xdr:row>
                    <xdr:rowOff>86264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4" name="Button 2">
              <controlPr defaultSize="0" print="0" autoFill="0" autoPict="0" macro="[0]!GoToNavigation">
                <anchor moveWithCells="1" sizeWithCells="1">
                  <from>
                    <xdr:col>5</xdr:col>
                    <xdr:colOff>388189</xdr:colOff>
                    <xdr:row>0</xdr:row>
                    <xdr:rowOff>112143</xdr:rowOff>
                  </from>
                  <to>
                    <xdr:col>8</xdr:col>
                    <xdr:colOff>155275</xdr:colOff>
                    <xdr:row>0</xdr:row>
                    <xdr:rowOff>362309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125DB-4A81-4F17-AB96-E077A7DA85B8}">
  <sheetPr codeName="HomeGame5"/>
  <dimension ref="A1:H18"/>
  <sheetViews>
    <sheetView workbookViewId="0">
      <selection activeCell="G5" sqref="G5"/>
    </sheetView>
  </sheetViews>
  <sheetFormatPr defaultRowHeight="14.3" x14ac:dyDescent="0.25"/>
  <cols>
    <col min="1" max="1" width="16.25" style="5" customWidth="1"/>
    <col min="2" max="2" width="22" customWidth="1"/>
    <col min="3" max="4" width="11.25" customWidth="1"/>
    <col min="5" max="5" width="22" customWidth="1"/>
  </cols>
  <sheetData>
    <row r="1" spans="1:8" ht="38.75" customHeight="1" thickTop="1" thickBot="1" x14ac:dyDescent="0.3">
      <c r="A1" s="3" t="s">
        <v>22</v>
      </c>
      <c r="B1" s="69" t="s">
        <v>90</v>
      </c>
      <c r="C1" s="70"/>
      <c r="D1" s="70"/>
      <c r="E1" s="71"/>
    </row>
    <row r="2" spans="1:8" ht="15.65" customHeight="1" thickTop="1" thickBot="1" x14ac:dyDescent="0.3">
      <c r="A2"/>
      <c r="B2" s="83" t="s">
        <v>82</v>
      </c>
      <c r="C2" s="83"/>
      <c r="D2" s="83"/>
      <c r="E2" s="83"/>
    </row>
    <row r="3" spans="1:8" ht="24.45" customHeight="1" x14ac:dyDescent="0.25">
      <c r="A3" s="4" t="s">
        <v>13</v>
      </c>
      <c r="B3" s="17"/>
      <c r="C3" s="81"/>
      <c r="D3" s="81"/>
      <c r="E3" s="19"/>
    </row>
    <row r="4" spans="1:8" ht="24.45" customHeight="1" thickBot="1" x14ac:dyDescent="0.3">
      <c r="A4" s="4"/>
      <c r="B4" s="18"/>
      <c r="C4" s="82"/>
      <c r="D4" s="82"/>
      <c r="E4" s="20"/>
      <c r="G4" t="str">
        <f>IF(C3=2,"W","")</f>
        <v/>
      </c>
      <c r="H4" t="str">
        <f>IF(D3=2,"L","")</f>
        <v/>
      </c>
    </row>
    <row r="5" spans="1:8" ht="11.55" customHeight="1" thickBot="1" x14ac:dyDescent="0.3">
      <c r="H5" t="str">
        <f t="shared" ref="H5:H11" si="0">IF(D4=2,"L","")</f>
        <v/>
      </c>
    </row>
    <row r="6" spans="1:8" ht="24.45" customHeight="1" x14ac:dyDescent="0.25">
      <c r="A6" s="4" t="s">
        <v>14</v>
      </c>
      <c r="B6" s="17"/>
      <c r="C6" s="81"/>
      <c r="D6" s="81"/>
      <c r="E6" s="19"/>
      <c r="G6" t="str">
        <f t="shared" ref="G6:G9" si="1">IF(C5=2,"W","")</f>
        <v/>
      </c>
      <c r="H6" t="str">
        <f t="shared" si="0"/>
        <v/>
      </c>
    </row>
    <row r="7" spans="1:8" ht="24.45" customHeight="1" thickBot="1" x14ac:dyDescent="0.3">
      <c r="A7" s="4"/>
      <c r="B7" s="18"/>
      <c r="C7" s="82"/>
      <c r="D7" s="82"/>
      <c r="E7" s="20"/>
      <c r="G7" t="str">
        <f>IF(C6=2,"W","")</f>
        <v/>
      </c>
      <c r="H7" t="str">
        <f>IF(D6=2,"L","")</f>
        <v/>
      </c>
    </row>
    <row r="8" spans="1:8" ht="11.55" customHeight="1" thickBot="1" x14ac:dyDescent="0.3">
      <c r="H8" t="str">
        <f t="shared" si="0"/>
        <v/>
      </c>
    </row>
    <row r="9" spans="1:8" ht="24.45" customHeight="1" x14ac:dyDescent="0.25">
      <c r="A9" s="4" t="s">
        <v>15</v>
      </c>
      <c r="B9" s="17"/>
      <c r="C9" s="81"/>
      <c r="D9" s="81"/>
      <c r="E9" s="19"/>
      <c r="G9" t="str">
        <f t="shared" si="1"/>
        <v/>
      </c>
      <c r="H9" t="str">
        <f t="shared" si="0"/>
        <v/>
      </c>
    </row>
    <row r="10" spans="1:8" ht="24.45" customHeight="1" thickBot="1" x14ac:dyDescent="0.3">
      <c r="A10" s="4"/>
      <c r="B10" s="18"/>
      <c r="C10" s="82"/>
      <c r="D10" s="82"/>
      <c r="E10" s="20"/>
      <c r="G10" t="str">
        <f>IF(C9=2,"W","")</f>
        <v/>
      </c>
      <c r="H10" t="str">
        <f t="shared" si="0"/>
        <v/>
      </c>
    </row>
    <row r="11" spans="1:8" ht="11.55" customHeight="1" thickBot="1" x14ac:dyDescent="0.3">
      <c r="H11" t="str">
        <f t="shared" si="0"/>
        <v/>
      </c>
    </row>
    <row r="12" spans="1:8" ht="24.45" customHeight="1" thickBot="1" x14ac:dyDescent="0.3">
      <c r="A12" s="4" t="s">
        <v>16</v>
      </c>
      <c r="B12" s="26"/>
      <c r="C12" s="27"/>
      <c r="D12" s="28"/>
      <c r="E12" s="29"/>
      <c r="G12" t="str">
        <f>IF(C12=2,"W","")</f>
        <v/>
      </c>
      <c r="H12" t="str">
        <f>IF(D12=2,"L","")</f>
        <v/>
      </c>
    </row>
    <row r="13" spans="1:8" ht="24.45" customHeight="1" thickBot="1" x14ac:dyDescent="0.3">
      <c r="A13" s="4" t="s">
        <v>17</v>
      </c>
      <c r="B13" s="26"/>
      <c r="C13" s="27"/>
      <c r="D13" s="28"/>
      <c r="E13" s="29"/>
      <c r="G13" t="str">
        <f t="shared" ref="G13:G17" si="2">IF(C13=2,"W","")</f>
        <v/>
      </c>
      <c r="H13" t="str">
        <f t="shared" ref="H13:H17" si="3">IF(D13=2,"L","")</f>
        <v/>
      </c>
    </row>
    <row r="14" spans="1:8" ht="24.45" customHeight="1" thickBot="1" x14ac:dyDescent="0.3">
      <c r="A14" s="4" t="s">
        <v>18</v>
      </c>
      <c r="B14" s="26"/>
      <c r="C14" s="27"/>
      <c r="D14" s="28"/>
      <c r="E14" s="29"/>
      <c r="G14" t="str">
        <f t="shared" si="2"/>
        <v/>
      </c>
      <c r="H14" t="str">
        <f t="shared" si="3"/>
        <v/>
      </c>
    </row>
    <row r="15" spans="1:8" ht="24.45" customHeight="1" thickBot="1" x14ac:dyDescent="0.3">
      <c r="A15" s="4" t="s">
        <v>19</v>
      </c>
      <c r="B15" s="26"/>
      <c r="C15" s="27"/>
      <c r="D15" s="28"/>
      <c r="E15" s="29"/>
      <c r="G15" t="str">
        <f t="shared" si="2"/>
        <v/>
      </c>
      <c r="H15" t="str">
        <f t="shared" si="3"/>
        <v/>
      </c>
    </row>
    <row r="16" spans="1:8" ht="24.45" customHeight="1" thickBot="1" x14ac:dyDescent="0.3">
      <c r="A16" s="4" t="s">
        <v>20</v>
      </c>
      <c r="B16" s="26"/>
      <c r="C16" s="27"/>
      <c r="D16" s="28"/>
      <c r="E16" s="29"/>
      <c r="G16" t="str">
        <f t="shared" si="2"/>
        <v/>
      </c>
      <c r="H16" t="str">
        <f t="shared" si="3"/>
        <v/>
      </c>
    </row>
    <row r="17" spans="1:8" ht="24.45" customHeight="1" thickBot="1" x14ac:dyDescent="0.3">
      <c r="A17" s="4" t="s">
        <v>21</v>
      </c>
      <c r="B17" s="26"/>
      <c r="C17" s="27"/>
      <c r="D17" s="28"/>
      <c r="E17" s="29"/>
      <c r="G17" t="str">
        <f t="shared" si="2"/>
        <v/>
      </c>
      <c r="H17" t="str">
        <f t="shared" si="3"/>
        <v/>
      </c>
    </row>
    <row r="18" spans="1:8" x14ac:dyDescent="0.25">
      <c r="C18" s="4">
        <f>COUNTIF(G3:G17,"W")</f>
        <v>0</v>
      </c>
      <c r="D18" s="4">
        <f>COUNTIF(H3:H17,"L")</f>
        <v>0</v>
      </c>
    </row>
  </sheetData>
  <mergeCells count="8">
    <mergeCell ref="C9:C10"/>
    <mergeCell ref="D9:D10"/>
    <mergeCell ref="B1:E1"/>
    <mergeCell ref="B2:E2"/>
    <mergeCell ref="C3:C4"/>
    <mergeCell ref="D3:D4"/>
    <mergeCell ref="C6:C7"/>
    <mergeCell ref="D6:D7"/>
  </mergeCells>
  <dataValidations count="3">
    <dataValidation type="textLength" allowBlank="1" showInputMessage="1" showErrorMessage="1" promptTitle="No Entry" prompt="Erroneous entry" sqref="E3:E4 E6:E7 E9:E10 E12:E17" xr:uid="{582F2FD8-F19C-4B6B-8C22-F7993379203C}">
      <formula1>0</formula1>
      <formula2>0</formula2>
    </dataValidation>
    <dataValidation allowBlank="1" showInputMessage="1" showErrorMessage="1" sqref="C6:D7 C9:D10 C12:D17" xr:uid="{FF6A66C2-C19A-4629-AABC-D55630B30D3D}"/>
    <dataValidation type="list" allowBlank="1" showInputMessage="1" showErrorMessage="1" sqref="B3:B4 B6:B7 B9:B10 B12:B17" xr:uid="{56F59952-FA4A-4113-8397-D2144B1088BC}">
      <formula1>PlayerName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3" name="Button 1">
              <controlPr defaultSize="0" print="0" autoFill="0" autoPict="0" macro="[0]!SubmitScores">
                <anchor moveWithCells="1" sizeWithCells="1">
                  <from>
                    <xdr:col>1</xdr:col>
                    <xdr:colOff>1112808</xdr:colOff>
                    <xdr:row>19</xdr:row>
                    <xdr:rowOff>86264</xdr:rowOff>
                  </from>
                  <to>
                    <xdr:col>3</xdr:col>
                    <xdr:colOff>750498</xdr:colOff>
                    <xdr:row>21</xdr:row>
                    <xdr:rowOff>86264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4" name="Button 2">
              <controlPr defaultSize="0" print="0" autoFill="0" autoPict="0" macro="[0]!GoToNavigation">
                <anchor moveWithCells="1" sizeWithCells="1">
                  <from>
                    <xdr:col>5</xdr:col>
                    <xdr:colOff>388189</xdr:colOff>
                    <xdr:row>0</xdr:row>
                    <xdr:rowOff>112143</xdr:rowOff>
                  </from>
                  <to>
                    <xdr:col>8</xdr:col>
                    <xdr:colOff>155275</xdr:colOff>
                    <xdr:row>0</xdr:row>
                    <xdr:rowOff>362309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3DBB5-98FF-4371-9153-09A3335D8A0A}">
  <sheetPr codeName="HomeGame6"/>
  <dimension ref="A1:H18"/>
  <sheetViews>
    <sheetView workbookViewId="0">
      <selection activeCell="G5" sqref="G5"/>
    </sheetView>
  </sheetViews>
  <sheetFormatPr defaultRowHeight="14.3" x14ac:dyDescent="0.25"/>
  <cols>
    <col min="1" max="1" width="16.25" style="5" customWidth="1"/>
    <col min="2" max="2" width="22" customWidth="1"/>
    <col min="3" max="4" width="11.25" customWidth="1"/>
    <col min="5" max="5" width="22" customWidth="1"/>
  </cols>
  <sheetData>
    <row r="1" spans="1:8" ht="38.75" customHeight="1" thickTop="1" thickBot="1" x14ac:dyDescent="0.3">
      <c r="A1" s="3" t="s">
        <v>22</v>
      </c>
      <c r="B1" s="69" t="s">
        <v>91</v>
      </c>
      <c r="C1" s="70"/>
      <c r="D1" s="70"/>
      <c r="E1" s="71"/>
    </row>
    <row r="2" spans="1:8" ht="15.65" customHeight="1" thickTop="1" thickBot="1" x14ac:dyDescent="0.3">
      <c r="A2"/>
      <c r="B2" s="83" t="s">
        <v>82</v>
      </c>
      <c r="C2" s="83"/>
      <c r="D2" s="83"/>
      <c r="E2" s="83"/>
    </row>
    <row r="3" spans="1:8" ht="24.45" customHeight="1" x14ac:dyDescent="0.25">
      <c r="A3" s="4" t="s">
        <v>13</v>
      </c>
      <c r="B3" s="17"/>
      <c r="C3" s="81"/>
      <c r="D3" s="81"/>
      <c r="E3" s="19"/>
    </row>
    <row r="4" spans="1:8" ht="24.45" customHeight="1" thickBot="1" x14ac:dyDescent="0.3">
      <c r="A4" s="4"/>
      <c r="B4" s="18"/>
      <c r="C4" s="82"/>
      <c r="D4" s="82"/>
      <c r="E4" s="20"/>
      <c r="G4" t="str">
        <f>IF(C3=2,"W","")</f>
        <v/>
      </c>
      <c r="H4" t="str">
        <f>IF(D3=2,"L","")</f>
        <v/>
      </c>
    </row>
    <row r="5" spans="1:8" ht="11.55" customHeight="1" thickBot="1" x14ac:dyDescent="0.3">
      <c r="H5" t="str">
        <f t="shared" ref="H5:H11" si="0">IF(D4=2,"L","")</f>
        <v/>
      </c>
    </row>
    <row r="6" spans="1:8" ht="24.45" customHeight="1" x14ac:dyDescent="0.25">
      <c r="A6" s="4" t="s">
        <v>14</v>
      </c>
      <c r="B6" s="17"/>
      <c r="C6" s="81"/>
      <c r="D6" s="81"/>
      <c r="E6" s="19"/>
      <c r="G6" t="str">
        <f t="shared" ref="G6:G9" si="1">IF(C5=2,"W","")</f>
        <v/>
      </c>
      <c r="H6" t="str">
        <f t="shared" si="0"/>
        <v/>
      </c>
    </row>
    <row r="7" spans="1:8" ht="24.45" customHeight="1" thickBot="1" x14ac:dyDescent="0.3">
      <c r="A7" s="4"/>
      <c r="B7" s="18"/>
      <c r="C7" s="82"/>
      <c r="D7" s="82"/>
      <c r="E7" s="20"/>
      <c r="G7" t="str">
        <f>IF(C6=2,"W","")</f>
        <v/>
      </c>
      <c r="H7" t="str">
        <f>IF(D6=2,"L","")</f>
        <v/>
      </c>
    </row>
    <row r="8" spans="1:8" ht="11.55" customHeight="1" thickBot="1" x14ac:dyDescent="0.3">
      <c r="H8" t="str">
        <f t="shared" si="0"/>
        <v/>
      </c>
    </row>
    <row r="9" spans="1:8" ht="24.45" customHeight="1" x14ac:dyDescent="0.25">
      <c r="A9" s="4" t="s">
        <v>15</v>
      </c>
      <c r="B9" s="17"/>
      <c r="C9" s="81"/>
      <c r="D9" s="81"/>
      <c r="E9" s="19"/>
      <c r="G9" t="str">
        <f t="shared" si="1"/>
        <v/>
      </c>
      <c r="H9" t="str">
        <f t="shared" si="0"/>
        <v/>
      </c>
    </row>
    <row r="10" spans="1:8" ht="24.45" customHeight="1" thickBot="1" x14ac:dyDescent="0.3">
      <c r="A10" s="4"/>
      <c r="B10" s="18"/>
      <c r="C10" s="82"/>
      <c r="D10" s="82"/>
      <c r="E10" s="20"/>
      <c r="G10" t="str">
        <f>IF(C9=2,"W","")</f>
        <v/>
      </c>
      <c r="H10" t="str">
        <f t="shared" si="0"/>
        <v/>
      </c>
    </row>
    <row r="11" spans="1:8" ht="11.55" customHeight="1" thickBot="1" x14ac:dyDescent="0.3">
      <c r="H11" t="str">
        <f t="shared" si="0"/>
        <v/>
      </c>
    </row>
    <row r="12" spans="1:8" ht="24.45" customHeight="1" thickBot="1" x14ac:dyDescent="0.3">
      <c r="A12" s="4" t="s">
        <v>16</v>
      </c>
      <c r="B12" s="26"/>
      <c r="C12" s="27"/>
      <c r="D12" s="28"/>
      <c r="E12" s="29"/>
      <c r="G12" t="str">
        <f>IF(C12=2,"W","")</f>
        <v/>
      </c>
      <c r="H12" t="str">
        <f>IF(D12=2,"L","")</f>
        <v/>
      </c>
    </row>
    <row r="13" spans="1:8" ht="24.45" customHeight="1" thickBot="1" x14ac:dyDescent="0.3">
      <c r="A13" s="4" t="s">
        <v>17</v>
      </c>
      <c r="B13" s="26"/>
      <c r="C13" s="27"/>
      <c r="D13" s="28"/>
      <c r="E13" s="29"/>
      <c r="G13" t="str">
        <f t="shared" ref="G13:G17" si="2">IF(C13=2,"W","")</f>
        <v/>
      </c>
      <c r="H13" t="str">
        <f t="shared" ref="H13:H17" si="3">IF(D13=2,"L","")</f>
        <v/>
      </c>
    </row>
    <row r="14" spans="1:8" ht="24.45" customHeight="1" thickBot="1" x14ac:dyDescent="0.3">
      <c r="A14" s="4" t="s">
        <v>18</v>
      </c>
      <c r="B14" s="26"/>
      <c r="C14" s="27"/>
      <c r="D14" s="28"/>
      <c r="E14" s="29"/>
      <c r="G14" t="str">
        <f t="shared" si="2"/>
        <v/>
      </c>
      <c r="H14" t="str">
        <f t="shared" si="3"/>
        <v/>
      </c>
    </row>
    <row r="15" spans="1:8" ht="24.45" customHeight="1" thickBot="1" x14ac:dyDescent="0.3">
      <c r="A15" s="4" t="s">
        <v>19</v>
      </c>
      <c r="B15" s="26"/>
      <c r="C15" s="27"/>
      <c r="D15" s="28"/>
      <c r="E15" s="29"/>
      <c r="G15" t="str">
        <f t="shared" si="2"/>
        <v/>
      </c>
      <c r="H15" t="str">
        <f t="shared" si="3"/>
        <v/>
      </c>
    </row>
    <row r="16" spans="1:8" ht="24.45" customHeight="1" thickBot="1" x14ac:dyDescent="0.3">
      <c r="A16" s="4" t="s">
        <v>20</v>
      </c>
      <c r="B16" s="26"/>
      <c r="C16" s="27"/>
      <c r="D16" s="28"/>
      <c r="E16" s="29"/>
      <c r="G16" t="str">
        <f t="shared" si="2"/>
        <v/>
      </c>
      <c r="H16" t="str">
        <f t="shared" si="3"/>
        <v/>
      </c>
    </row>
    <row r="17" spans="1:8" ht="24.45" customHeight="1" thickBot="1" x14ac:dyDescent="0.3">
      <c r="A17" s="4" t="s">
        <v>21</v>
      </c>
      <c r="B17" s="26"/>
      <c r="C17" s="27"/>
      <c r="D17" s="28"/>
      <c r="E17" s="29"/>
      <c r="G17" t="str">
        <f t="shared" si="2"/>
        <v/>
      </c>
      <c r="H17" t="str">
        <f t="shared" si="3"/>
        <v/>
      </c>
    </row>
    <row r="18" spans="1:8" x14ac:dyDescent="0.25">
      <c r="C18" s="4">
        <f>COUNTIF(G3:G17,"W")</f>
        <v>0</v>
      </c>
      <c r="D18" s="4">
        <f>COUNTIF(H3:H17,"L")</f>
        <v>0</v>
      </c>
    </row>
  </sheetData>
  <mergeCells count="8">
    <mergeCell ref="C9:C10"/>
    <mergeCell ref="D9:D10"/>
    <mergeCell ref="B1:E1"/>
    <mergeCell ref="B2:E2"/>
    <mergeCell ref="C3:C4"/>
    <mergeCell ref="D3:D4"/>
    <mergeCell ref="C6:C7"/>
    <mergeCell ref="D6:D7"/>
  </mergeCells>
  <dataValidations count="3">
    <dataValidation type="textLength" allowBlank="1" showInputMessage="1" showErrorMessage="1" promptTitle="No Entry" prompt="Erroneous entry" sqref="E3:E4 E6:E7 E9:E10 E12:E17" xr:uid="{FA586BCF-556B-4672-994B-240621E6322E}">
      <formula1>0</formula1>
      <formula2>0</formula2>
    </dataValidation>
    <dataValidation allowBlank="1" showInputMessage="1" showErrorMessage="1" sqref="C6:D7 C9:D10 C12:D17" xr:uid="{4A9944F5-EB74-4252-A91B-72344ACB69BF}"/>
    <dataValidation type="list" allowBlank="1" showInputMessage="1" showErrorMessage="1" sqref="B3:B4 B6:B7 B9:B10 B12:B17" xr:uid="{0151D704-E3BB-472C-A844-0E83A9824E4F}">
      <formula1>PlayerName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3" name="Button 1">
              <controlPr defaultSize="0" print="0" autoFill="0" autoPict="0" macro="[0]!SubmitScores">
                <anchor moveWithCells="1" sizeWithCells="1">
                  <from>
                    <xdr:col>1</xdr:col>
                    <xdr:colOff>1112808</xdr:colOff>
                    <xdr:row>19</xdr:row>
                    <xdr:rowOff>86264</xdr:rowOff>
                  </from>
                  <to>
                    <xdr:col>3</xdr:col>
                    <xdr:colOff>750498</xdr:colOff>
                    <xdr:row>21</xdr:row>
                    <xdr:rowOff>86264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4" name="Button 2">
              <controlPr defaultSize="0" print="0" autoFill="0" autoPict="0" macro="[0]!GoToNavigation">
                <anchor moveWithCells="1" sizeWithCells="1">
                  <from>
                    <xdr:col>5</xdr:col>
                    <xdr:colOff>388189</xdr:colOff>
                    <xdr:row>0</xdr:row>
                    <xdr:rowOff>112143</xdr:rowOff>
                  </from>
                  <to>
                    <xdr:col>8</xdr:col>
                    <xdr:colOff>155275</xdr:colOff>
                    <xdr:row>0</xdr:row>
                    <xdr:rowOff>362309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A70BE-24AC-45E4-833E-25DE61ADB565}">
  <sheetPr codeName="AwayGame4"/>
  <dimension ref="A1:H18"/>
  <sheetViews>
    <sheetView workbookViewId="0">
      <selection activeCell="E21" sqref="E21"/>
    </sheetView>
  </sheetViews>
  <sheetFormatPr defaultRowHeight="14.3" x14ac:dyDescent="0.25"/>
  <cols>
    <col min="1" max="1" width="16.25" style="5" customWidth="1"/>
    <col min="2" max="2" width="22" customWidth="1"/>
    <col min="3" max="4" width="11.25" customWidth="1"/>
    <col min="5" max="5" width="22" customWidth="1"/>
  </cols>
  <sheetData>
    <row r="1" spans="1:8" ht="38.75" customHeight="1" thickTop="1" thickBot="1" x14ac:dyDescent="0.3">
      <c r="A1" s="3" t="s">
        <v>22</v>
      </c>
      <c r="B1" s="69" t="s">
        <v>92</v>
      </c>
      <c r="C1" s="70"/>
      <c r="D1" s="70"/>
      <c r="E1" s="71"/>
    </row>
    <row r="2" spans="1:8" ht="15.65" customHeight="1" thickTop="1" thickBot="1" x14ac:dyDescent="0.3">
      <c r="A2"/>
      <c r="B2" s="76" t="s">
        <v>81</v>
      </c>
      <c r="C2" s="76"/>
      <c r="D2" s="76"/>
      <c r="E2" s="76"/>
    </row>
    <row r="3" spans="1:8" ht="24.45" customHeight="1" x14ac:dyDescent="0.25">
      <c r="A3" s="4" t="s">
        <v>13</v>
      </c>
      <c r="B3" s="22"/>
      <c r="C3" s="77"/>
      <c r="D3" s="79"/>
      <c r="E3" s="30"/>
    </row>
    <row r="4" spans="1:8" ht="24.45" customHeight="1" thickBot="1" x14ac:dyDescent="0.3">
      <c r="A4" s="4"/>
      <c r="B4" s="23"/>
      <c r="C4" s="78"/>
      <c r="D4" s="80"/>
      <c r="E4" s="31"/>
      <c r="G4" t="str">
        <f>IF(C3=2,"L","")</f>
        <v/>
      </c>
      <c r="H4" t="str">
        <f>IF(D3=2,"W","")</f>
        <v/>
      </c>
    </row>
    <row r="5" spans="1:8" ht="11.55" customHeight="1" thickBot="1" x14ac:dyDescent="0.3"/>
    <row r="6" spans="1:8" ht="24.45" customHeight="1" x14ac:dyDescent="0.25">
      <c r="A6" s="4" t="s">
        <v>14</v>
      </c>
      <c r="B6" s="32"/>
      <c r="C6" s="72"/>
      <c r="D6" s="74"/>
      <c r="E6" s="24"/>
      <c r="G6" t="str">
        <f t="shared" ref="G6:G9" si="0">IF(C5=2,"W","")</f>
        <v/>
      </c>
      <c r="H6" t="str">
        <f t="shared" ref="H6" si="1">IF(D5=2,"L","")</f>
        <v/>
      </c>
    </row>
    <row r="7" spans="1:8" ht="24.45" customHeight="1" thickBot="1" x14ac:dyDescent="0.3">
      <c r="A7" s="4"/>
      <c r="B7" s="33"/>
      <c r="C7" s="73"/>
      <c r="D7" s="75"/>
      <c r="E7" s="25"/>
      <c r="G7" t="str">
        <f>IF(C6=2,"L","")</f>
        <v/>
      </c>
      <c r="H7" t="str">
        <f>IF(D6=2,"W","")</f>
        <v/>
      </c>
    </row>
    <row r="8" spans="1:8" ht="11.55" customHeight="1" thickBot="1" x14ac:dyDescent="0.3"/>
    <row r="9" spans="1:8" ht="24.45" customHeight="1" x14ac:dyDescent="0.25">
      <c r="A9" s="4" t="s">
        <v>15</v>
      </c>
      <c r="B9" s="32"/>
      <c r="C9" s="72"/>
      <c r="D9" s="74"/>
      <c r="E9" s="24"/>
      <c r="G9" t="str">
        <f t="shared" si="0"/>
        <v/>
      </c>
    </row>
    <row r="10" spans="1:8" ht="24.45" customHeight="1" thickBot="1" x14ac:dyDescent="0.3">
      <c r="A10" s="4"/>
      <c r="B10" s="33"/>
      <c r="C10" s="73"/>
      <c r="D10" s="75"/>
      <c r="E10" s="25"/>
      <c r="G10" t="str">
        <f>IF(C9=2,"L","")</f>
        <v/>
      </c>
      <c r="H10" t="str">
        <f>IF(D9=2,"W","")</f>
        <v/>
      </c>
    </row>
    <row r="11" spans="1:8" ht="11.55" customHeight="1" thickBot="1" x14ac:dyDescent="0.3"/>
    <row r="12" spans="1:8" ht="24.45" customHeight="1" thickBot="1" x14ac:dyDescent="0.3">
      <c r="A12" s="4" t="s">
        <v>16</v>
      </c>
      <c r="B12" s="36"/>
      <c r="C12" s="34"/>
      <c r="D12" s="38"/>
      <c r="E12" s="40"/>
      <c r="G12" t="str">
        <f>IF(C12=2,"L","")</f>
        <v/>
      </c>
      <c r="H12" t="str">
        <f>IF(D12=2,"W","")</f>
        <v/>
      </c>
    </row>
    <row r="13" spans="1:8" ht="24.45" customHeight="1" thickBot="1" x14ac:dyDescent="0.3">
      <c r="A13" s="4" t="s">
        <v>17</v>
      </c>
      <c r="B13" s="36"/>
      <c r="C13" s="34"/>
      <c r="D13" s="38"/>
      <c r="E13" s="40"/>
      <c r="G13" t="str">
        <f t="shared" ref="G13:G17" si="2">IF(C13=2,"L","")</f>
        <v/>
      </c>
      <c r="H13" t="str">
        <f t="shared" ref="H13:H17" si="3">IF(D13=2,"W","")</f>
        <v/>
      </c>
    </row>
    <row r="14" spans="1:8" ht="24.45" customHeight="1" thickBot="1" x14ac:dyDescent="0.3">
      <c r="A14" s="4" t="s">
        <v>18</v>
      </c>
      <c r="B14" s="36"/>
      <c r="C14" s="34"/>
      <c r="D14" s="38"/>
      <c r="E14" s="40"/>
      <c r="G14" t="str">
        <f t="shared" si="2"/>
        <v/>
      </c>
      <c r="H14" t="str">
        <f t="shared" si="3"/>
        <v/>
      </c>
    </row>
    <row r="15" spans="1:8" ht="24.45" customHeight="1" thickBot="1" x14ac:dyDescent="0.3">
      <c r="A15" s="4" t="s">
        <v>19</v>
      </c>
      <c r="B15" s="36"/>
      <c r="C15" s="34"/>
      <c r="D15" s="38"/>
      <c r="E15" s="40"/>
      <c r="G15" t="str">
        <f t="shared" si="2"/>
        <v/>
      </c>
      <c r="H15" t="str">
        <f t="shared" si="3"/>
        <v/>
      </c>
    </row>
    <row r="16" spans="1:8" ht="24.45" customHeight="1" thickBot="1" x14ac:dyDescent="0.3">
      <c r="A16" s="4" t="s">
        <v>20</v>
      </c>
      <c r="B16" s="36"/>
      <c r="C16" s="34"/>
      <c r="D16" s="38"/>
      <c r="E16" s="40"/>
      <c r="G16" t="str">
        <f t="shared" si="2"/>
        <v/>
      </c>
      <c r="H16" t="str">
        <f t="shared" si="3"/>
        <v/>
      </c>
    </row>
    <row r="17" spans="1:8" ht="24.45" customHeight="1" thickBot="1" x14ac:dyDescent="0.3">
      <c r="A17" s="4" t="s">
        <v>21</v>
      </c>
      <c r="B17" s="37"/>
      <c r="C17" s="35"/>
      <c r="D17" s="39"/>
      <c r="E17" s="41"/>
      <c r="G17" t="str">
        <f t="shared" si="2"/>
        <v/>
      </c>
      <c r="H17" t="str">
        <f t="shared" si="3"/>
        <v/>
      </c>
    </row>
    <row r="18" spans="1:8" x14ac:dyDescent="0.25">
      <c r="C18" s="4">
        <f>COUNTIF(G3:G17,"L")</f>
        <v>0</v>
      </c>
      <c r="D18" s="4">
        <f>COUNTIF(H3:H17,"W")</f>
        <v>0</v>
      </c>
    </row>
  </sheetData>
  <sheetProtection selectLockedCells="1"/>
  <mergeCells count="8">
    <mergeCell ref="C9:C10"/>
    <mergeCell ref="D9:D10"/>
    <mergeCell ref="B1:E1"/>
    <mergeCell ref="B2:E2"/>
    <mergeCell ref="C3:C4"/>
    <mergeCell ref="D3:D4"/>
    <mergeCell ref="C6:C7"/>
    <mergeCell ref="D6:D7"/>
  </mergeCells>
  <dataValidations count="3">
    <dataValidation type="textLength" allowBlank="1" showInputMessage="1" showErrorMessage="1" promptTitle="No Entry" prompt="Erroneous entry" sqref="B3:B4 B6:B7 B9:B10 B12:B17" xr:uid="{4005350C-82EF-4E09-8606-1C66B3F574E9}">
      <formula1>0</formula1>
      <formula2>0</formula2>
    </dataValidation>
    <dataValidation type="list" allowBlank="1" showInputMessage="1" showErrorMessage="1" sqref="E12:E17 E3:E4 E6:E7 E9:E10" xr:uid="{54FEFF54-941D-4597-BA3C-5405E1809819}">
      <formula1>PlayerName</formula1>
    </dataValidation>
    <dataValidation allowBlank="1" showInputMessage="1" showErrorMessage="1" sqref="C6:D7 C9:D10 C12:D17" xr:uid="{E8C63FB7-75DE-4C49-8B02-642BCA32A90A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ubmitScores">
                <anchor moveWithCells="1" sizeWithCells="1">
                  <from>
                    <xdr:col>1</xdr:col>
                    <xdr:colOff>1009291</xdr:colOff>
                    <xdr:row>19</xdr:row>
                    <xdr:rowOff>8626</xdr:rowOff>
                  </from>
                  <to>
                    <xdr:col>3</xdr:col>
                    <xdr:colOff>646981</xdr:colOff>
                    <xdr:row>21</xdr:row>
                    <xdr:rowOff>8626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4" name="Button 2">
              <controlPr defaultSize="0" print="0" autoFill="0" autoPict="0" macro="[0]!GoToNavigation">
                <anchor moveWithCells="1" sizeWithCells="1">
                  <from>
                    <xdr:col>5</xdr:col>
                    <xdr:colOff>431321</xdr:colOff>
                    <xdr:row>0</xdr:row>
                    <xdr:rowOff>103517</xdr:rowOff>
                  </from>
                  <to>
                    <xdr:col>8</xdr:col>
                    <xdr:colOff>198408</xdr:colOff>
                    <xdr:row>0</xdr:row>
                    <xdr:rowOff>353683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5F1F5-2E2A-4E47-B404-9C4160ACEE02}">
  <sheetPr codeName="HomeGame7"/>
  <dimension ref="A1:H18"/>
  <sheetViews>
    <sheetView workbookViewId="0">
      <selection activeCell="G5" sqref="G5"/>
    </sheetView>
  </sheetViews>
  <sheetFormatPr defaultRowHeight="14.3" x14ac:dyDescent="0.25"/>
  <cols>
    <col min="1" max="1" width="16.25" style="5" customWidth="1"/>
    <col min="2" max="2" width="22" customWidth="1"/>
    <col min="3" max="4" width="11.25" customWidth="1"/>
    <col min="5" max="5" width="22" customWidth="1"/>
  </cols>
  <sheetData>
    <row r="1" spans="1:8" ht="38.75" customHeight="1" thickTop="1" thickBot="1" x14ac:dyDescent="0.3">
      <c r="A1" s="3" t="s">
        <v>22</v>
      </c>
      <c r="B1" s="69" t="s">
        <v>93</v>
      </c>
      <c r="C1" s="70"/>
      <c r="D1" s="70"/>
      <c r="E1" s="71"/>
    </row>
    <row r="2" spans="1:8" ht="15.65" customHeight="1" thickTop="1" thickBot="1" x14ac:dyDescent="0.3">
      <c r="A2"/>
      <c r="B2" s="83" t="s">
        <v>82</v>
      </c>
      <c r="C2" s="83"/>
      <c r="D2" s="83"/>
      <c r="E2" s="83"/>
    </row>
    <row r="3" spans="1:8" ht="24.45" customHeight="1" x14ac:dyDescent="0.25">
      <c r="A3" s="4" t="s">
        <v>13</v>
      </c>
      <c r="B3" s="17"/>
      <c r="C3" s="81"/>
      <c r="D3" s="81"/>
      <c r="E3" s="19"/>
    </row>
    <row r="4" spans="1:8" ht="24.45" customHeight="1" thickBot="1" x14ac:dyDescent="0.3">
      <c r="A4" s="4"/>
      <c r="B4" s="18"/>
      <c r="C4" s="82"/>
      <c r="D4" s="82"/>
      <c r="E4" s="20"/>
      <c r="G4" t="str">
        <f>IF(C3=2,"W","")</f>
        <v/>
      </c>
      <c r="H4" t="str">
        <f>IF(D3=2,"L","")</f>
        <v/>
      </c>
    </row>
    <row r="5" spans="1:8" ht="11.55" customHeight="1" thickBot="1" x14ac:dyDescent="0.3">
      <c r="H5" t="str">
        <f t="shared" ref="H5:H11" si="0">IF(D4=2,"L","")</f>
        <v/>
      </c>
    </row>
    <row r="6" spans="1:8" ht="24.45" customHeight="1" x14ac:dyDescent="0.25">
      <c r="A6" s="4" t="s">
        <v>14</v>
      </c>
      <c r="B6" s="17"/>
      <c r="C6" s="81"/>
      <c r="D6" s="81"/>
      <c r="E6" s="19"/>
      <c r="G6" t="str">
        <f t="shared" ref="G6:G9" si="1">IF(C5=2,"W","")</f>
        <v/>
      </c>
      <c r="H6" t="str">
        <f t="shared" si="0"/>
        <v/>
      </c>
    </row>
    <row r="7" spans="1:8" ht="24.45" customHeight="1" thickBot="1" x14ac:dyDescent="0.3">
      <c r="A7" s="4"/>
      <c r="B7" s="18"/>
      <c r="C7" s="82"/>
      <c r="D7" s="82"/>
      <c r="E7" s="20"/>
      <c r="G7" t="str">
        <f>IF(C6=2,"W","")</f>
        <v/>
      </c>
      <c r="H7" t="str">
        <f>IF(D6=2,"L","")</f>
        <v/>
      </c>
    </row>
    <row r="8" spans="1:8" ht="11.55" customHeight="1" thickBot="1" x14ac:dyDescent="0.3">
      <c r="H8" t="str">
        <f t="shared" si="0"/>
        <v/>
      </c>
    </row>
    <row r="9" spans="1:8" ht="24.45" customHeight="1" x14ac:dyDescent="0.25">
      <c r="A9" s="4" t="s">
        <v>15</v>
      </c>
      <c r="B9" s="17"/>
      <c r="C9" s="81"/>
      <c r="D9" s="81"/>
      <c r="E9" s="19"/>
      <c r="G9" t="str">
        <f t="shared" si="1"/>
        <v/>
      </c>
      <c r="H9" t="str">
        <f t="shared" si="0"/>
        <v/>
      </c>
    </row>
    <row r="10" spans="1:8" ht="24.45" customHeight="1" thickBot="1" x14ac:dyDescent="0.3">
      <c r="A10" s="4"/>
      <c r="B10" s="18"/>
      <c r="C10" s="82"/>
      <c r="D10" s="82"/>
      <c r="E10" s="20"/>
      <c r="G10" t="str">
        <f>IF(C9=2,"W","")</f>
        <v/>
      </c>
      <c r="H10" t="str">
        <f t="shared" si="0"/>
        <v/>
      </c>
    </row>
    <row r="11" spans="1:8" ht="11.55" customHeight="1" thickBot="1" x14ac:dyDescent="0.3">
      <c r="H11" t="str">
        <f t="shared" si="0"/>
        <v/>
      </c>
    </row>
    <row r="12" spans="1:8" ht="24.45" customHeight="1" thickBot="1" x14ac:dyDescent="0.3">
      <c r="A12" s="4" t="s">
        <v>16</v>
      </c>
      <c r="B12" s="26"/>
      <c r="C12" s="27"/>
      <c r="D12" s="28"/>
      <c r="E12" s="29"/>
      <c r="G12" t="str">
        <f>IF(C12=2,"W","")</f>
        <v/>
      </c>
      <c r="H12" t="str">
        <f>IF(D12=2,"L","")</f>
        <v/>
      </c>
    </row>
    <row r="13" spans="1:8" ht="24.45" customHeight="1" thickBot="1" x14ac:dyDescent="0.3">
      <c r="A13" s="4" t="s">
        <v>17</v>
      </c>
      <c r="B13" s="26"/>
      <c r="C13" s="27"/>
      <c r="D13" s="28"/>
      <c r="E13" s="29"/>
      <c r="G13" t="str">
        <f t="shared" ref="G13:G17" si="2">IF(C13=2,"W","")</f>
        <v/>
      </c>
      <c r="H13" t="str">
        <f t="shared" ref="H13:H17" si="3">IF(D13=2,"L","")</f>
        <v/>
      </c>
    </row>
    <row r="14" spans="1:8" ht="24.45" customHeight="1" thickBot="1" x14ac:dyDescent="0.3">
      <c r="A14" s="4" t="s">
        <v>18</v>
      </c>
      <c r="B14" s="26"/>
      <c r="C14" s="27"/>
      <c r="D14" s="28"/>
      <c r="E14" s="29"/>
      <c r="G14" t="str">
        <f t="shared" si="2"/>
        <v/>
      </c>
      <c r="H14" t="str">
        <f t="shared" si="3"/>
        <v/>
      </c>
    </row>
    <row r="15" spans="1:8" ht="24.45" customHeight="1" thickBot="1" x14ac:dyDescent="0.3">
      <c r="A15" s="4" t="s">
        <v>19</v>
      </c>
      <c r="B15" s="26"/>
      <c r="C15" s="27"/>
      <c r="D15" s="28"/>
      <c r="E15" s="29"/>
      <c r="G15" t="str">
        <f t="shared" si="2"/>
        <v/>
      </c>
      <c r="H15" t="str">
        <f t="shared" si="3"/>
        <v/>
      </c>
    </row>
    <row r="16" spans="1:8" ht="24.45" customHeight="1" thickBot="1" x14ac:dyDescent="0.3">
      <c r="A16" s="4" t="s">
        <v>20</v>
      </c>
      <c r="B16" s="26"/>
      <c r="C16" s="27"/>
      <c r="D16" s="28"/>
      <c r="E16" s="29"/>
      <c r="G16" t="str">
        <f t="shared" si="2"/>
        <v/>
      </c>
      <c r="H16" t="str">
        <f t="shared" si="3"/>
        <v/>
      </c>
    </row>
    <row r="17" spans="1:8" ht="24.45" customHeight="1" thickBot="1" x14ac:dyDescent="0.3">
      <c r="A17" s="4" t="s">
        <v>21</v>
      </c>
      <c r="B17" s="26"/>
      <c r="C17" s="27"/>
      <c r="D17" s="28"/>
      <c r="E17" s="29"/>
      <c r="G17" t="str">
        <f t="shared" si="2"/>
        <v/>
      </c>
      <c r="H17" t="str">
        <f t="shared" si="3"/>
        <v/>
      </c>
    </row>
    <row r="18" spans="1:8" x14ac:dyDescent="0.25">
      <c r="C18" s="4">
        <f>COUNTIF(G3:G17,"W")</f>
        <v>0</v>
      </c>
      <c r="D18" s="4">
        <f>COUNTIF(H3:H17,"L")</f>
        <v>0</v>
      </c>
    </row>
  </sheetData>
  <mergeCells count="8">
    <mergeCell ref="C9:C10"/>
    <mergeCell ref="D9:D10"/>
    <mergeCell ref="B1:E1"/>
    <mergeCell ref="B2:E2"/>
    <mergeCell ref="C3:C4"/>
    <mergeCell ref="D3:D4"/>
    <mergeCell ref="C6:C7"/>
    <mergeCell ref="D6:D7"/>
  </mergeCells>
  <dataValidations count="3">
    <dataValidation type="textLength" allowBlank="1" showInputMessage="1" showErrorMessage="1" promptTitle="No Entry" prompt="Erroneous entry" sqref="E3:E4 E6:E7 E9:E10 E12:E17" xr:uid="{42D91DD8-C94A-4397-B865-71576DA10948}">
      <formula1>0</formula1>
      <formula2>0</formula2>
    </dataValidation>
    <dataValidation allowBlank="1" showInputMessage="1" showErrorMessage="1" sqref="C6:D7 C9:D10 C12:D17" xr:uid="{ADCD5986-53FF-4755-88A7-17F04EF7B2CF}"/>
    <dataValidation type="list" allowBlank="1" showInputMessage="1" showErrorMessage="1" sqref="B3:B4 B6:B7 B9:B10 B12:B17" xr:uid="{1DDD81BD-7ACB-4A5A-AE25-2DF091D118B1}">
      <formula1>PlayerName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SubmitScores">
                <anchor moveWithCells="1" sizeWithCells="1">
                  <from>
                    <xdr:col>1</xdr:col>
                    <xdr:colOff>1112808</xdr:colOff>
                    <xdr:row>19</xdr:row>
                    <xdr:rowOff>86264</xdr:rowOff>
                  </from>
                  <to>
                    <xdr:col>3</xdr:col>
                    <xdr:colOff>750498</xdr:colOff>
                    <xdr:row>21</xdr:row>
                    <xdr:rowOff>86264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4" name="Button 2">
              <controlPr defaultSize="0" print="0" autoFill="0" autoPict="0" macro="[0]!GoToNavigation">
                <anchor moveWithCells="1" sizeWithCells="1">
                  <from>
                    <xdr:col>5</xdr:col>
                    <xdr:colOff>388189</xdr:colOff>
                    <xdr:row>0</xdr:row>
                    <xdr:rowOff>112143</xdr:rowOff>
                  </from>
                  <to>
                    <xdr:col>8</xdr:col>
                    <xdr:colOff>155275</xdr:colOff>
                    <xdr:row>0</xdr:row>
                    <xdr:rowOff>362309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BAA65-68FA-4DC5-B76B-4F94F589352F}">
  <sheetPr codeName="AwayGame5"/>
  <dimension ref="A1:H18"/>
  <sheetViews>
    <sheetView workbookViewId="0">
      <selection activeCell="E21" sqref="E21"/>
    </sheetView>
  </sheetViews>
  <sheetFormatPr defaultRowHeight="14.3" x14ac:dyDescent="0.25"/>
  <cols>
    <col min="1" max="1" width="16.25" style="5" customWidth="1"/>
    <col min="2" max="2" width="22" customWidth="1"/>
    <col min="3" max="4" width="11.25" customWidth="1"/>
    <col min="5" max="5" width="22" customWidth="1"/>
  </cols>
  <sheetData>
    <row r="1" spans="1:8" ht="38.75" customHeight="1" thickTop="1" thickBot="1" x14ac:dyDescent="0.3">
      <c r="A1" s="3" t="s">
        <v>22</v>
      </c>
      <c r="B1" s="69" t="s">
        <v>94</v>
      </c>
      <c r="C1" s="70"/>
      <c r="D1" s="70"/>
      <c r="E1" s="71"/>
    </row>
    <row r="2" spans="1:8" ht="15.65" customHeight="1" thickTop="1" thickBot="1" x14ac:dyDescent="0.3">
      <c r="A2"/>
      <c r="B2" s="76" t="s">
        <v>81</v>
      </c>
      <c r="C2" s="76"/>
      <c r="D2" s="76"/>
      <c r="E2" s="76"/>
    </row>
    <row r="3" spans="1:8" ht="24.45" customHeight="1" x14ac:dyDescent="0.25">
      <c r="A3" s="4" t="s">
        <v>13</v>
      </c>
      <c r="B3" s="22"/>
      <c r="C3" s="77"/>
      <c r="D3" s="79"/>
      <c r="E3" s="30"/>
    </row>
    <row r="4" spans="1:8" ht="24.45" customHeight="1" thickBot="1" x14ac:dyDescent="0.3">
      <c r="A4" s="4"/>
      <c r="B4" s="23"/>
      <c r="C4" s="78"/>
      <c r="D4" s="80"/>
      <c r="E4" s="31"/>
      <c r="G4" t="str">
        <f>IF(C3=2,"L","")</f>
        <v/>
      </c>
      <c r="H4" t="str">
        <f>IF(D3=2,"W","")</f>
        <v/>
      </c>
    </row>
    <row r="5" spans="1:8" ht="11.55" customHeight="1" thickBot="1" x14ac:dyDescent="0.3"/>
    <row r="6" spans="1:8" ht="24.45" customHeight="1" x14ac:dyDescent="0.25">
      <c r="A6" s="4" t="s">
        <v>14</v>
      </c>
      <c r="B6" s="32"/>
      <c r="C6" s="72"/>
      <c r="D6" s="74"/>
      <c r="E6" s="24"/>
      <c r="G6" t="str">
        <f t="shared" ref="G6:G9" si="0">IF(C5=2,"W","")</f>
        <v/>
      </c>
      <c r="H6" t="str">
        <f t="shared" ref="H6" si="1">IF(D5=2,"L","")</f>
        <v/>
      </c>
    </row>
    <row r="7" spans="1:8" ht="24.45" customHeight="1" thickBot="1" x14ac:dyDescent="0.3">
      <c r="A7" s="4"/>
      <c r="B7" s="33"/>
      <c r="C7" s="73"/>
      <c r="D7" s="75"/>
      <c r="E7" s="25"/>
      <c r="G7" t="str">
        <f>IF(C6=2,"L","")</f>
        <v/>
      </c>
      <c r="H7" t="str">
        <f>IF(D6=2,"W","")</f>
        <v/>
      </c>
    </row>
    <row r="8" spans="1:8" ht="11.55" customHeight="1" thickBot="1" x14ac:dyDescent="0.3"/>
    <row r="9" spans="1:8" ht="24.45" customHeight="1" x14ac:dyDescent="0.25">
      <c r="A9" s="4" t="s">
        <v>15</v>
      </c>
      <c r="B9" s="32"/>
      <c r="C9" s="72"/>
      <c r="D9" s="74"/>
      <c r="E9" s="24"/>
      <c r="G9" t="str">
        <f t="shared" si="0"/>
        <v/>
      </c>
    </row>
    <row r="10" spans="1:8" ht="24.45" customHeight="1" thickBot="1" x14ac:dyDescent="0.3">
      <c r="A10" s="4"/>
      <c r="B10" s="33"/>
      <c r="C10" s="73"/>
      <c r="D10" s="75"/>
      <c r="E10" s="25"/>
      <c r="G10" t="str">
        <f>IF(C9=2,"L","")</f>
        <v/>
      </c>
      <c r="H10" t="str">
        <f>IF(D9=2,"W","")</f>
        <v/>
      </c>
    </row>
    <row r="11" spans="1:8" ht="11.55" customHeight="1" thickBot="1" x14ac:dyDescent="0.3"/>
    <row r="12" spans="1:8" ht="24.45" customHeight="1" thickBot="1" x14ac:dyDescent="0.3">
      <c r="A12" s="4" t="s">
        <v>16</v>
      </c>
      <c r="B12" s="36"/>
      <c r="C12" s="34"/>
      <c r="D12" s="38"/>
      <c r="E12" s="40"/>
      <c r="G12" t="str">
        <f>IF(C12=2,"L","")</f>
        <v/>
      </c>
      <c r="H12" t="str">
        <f>IF(D12=2,"W","")</f>
        <v/>
      </c>
    </row>
    <row r="13" spans="1:8" ht="24.45" customHeight="1" thickBot="1" x14ac:dyDescent="0.3">
      <c r="A13" s="4" t="s">
        <v>17</v>
      </c>
      <c r="B13" s="36"/>
      <c r="C13" s="34"/>
      <c r="D13" s="38"/>
      <c r="E13" s="40"/>
      <c r="G13" t="str">
        <f t="shared" ref="G13:G17" si="2">IF(C13=2,"L","")</f>
        <v/>
      </c>
      <c r="H13" t="str">
        <f t="shared" ref="H13:H17" si="3">IF(D13=2,"W","")</f>
        <v/>
      </c>
    </row>
    <row r="14" spans="1:8" ht="24.45" customHeight="1" thickBot="1" x14ac:dyDescent="0.3">
      <c r="A14" s="4" t="s">
        <v>18</v>
      </c>
      <c r="B14" s="36"/>
      <c r="C14" s="34"/>
      <c r="D14" s="38"/>
      <c r="E14" s="40"/>
      <c r="G14" t="str">
        <f t="shared" si="2"/>
        <v/>
      </c>
      <c r="H14" t="str">
        <f t="shared" si="3"/>
        <v/>
      </c>
    </row>
    <row r="15" spans="1:8" ht="24.45" customHeight="1" thickBot="1" x14ac:dyDescent="0.3">
      <c r="A15" s="4" t="s">
        <v>19</v>
      </c>
      <c r="B15" s="36"/>
      <c r="C15" s="34"/>
      <c r="D15" s="38"/>
      <c r="E15" s="40"/>
      <c r="G15" t="str">
        <f t="shared" si="2"/>
        <v/>
      </c>
      <c r="H15" t="str">
        <f t="shared" si="3"/>
        <v/>
      </c>
    </row>
    <row r="16" spans="1:8" ht="24.45" customHeight="1" thickBot="1" x14ac:dyDescent="0.3">
      <c r="A16" s="4" t="s">
        <v>20</v>
      </c>
      <c r="B16" s="36"/>
      <c r="C16" s="34"/>
      <c r="D16" s="38"/>
      <c r="E16" s="40"/>
      <c r="G16" t="str">
        <f t="shared" si="2"/>
        <v/>
      </c>
      <c r="H16" t="str">
        <f t="shared" si="3"/>
        <v/>
      </c>
    </row>
    <row r="17" spans="1:8" ht="24.45" customHeight="1" thickBot="1" x14ac:dyDescent="0.3">
      <c r="A17" s="4" t="s">
        <v>21</v>
      </c>
      <c r="B17" s="37"/>
      <c r="C17" s="35"/>
      <c r="D17" s="39"/>
      <c r="E17" s="41"/>
      <c r="G17" t="str">
        <f t="shared" si="2"/>
        <v/>
      </c>
      <c r="H17" t="str">
        <f t="shared" si="3"/>
        <v/>
      </c>
    </row>
    <row r="18" spans="1:8" x14ac:dyDescent="0.25">
      <c r="C18" s="4">
        <f>COUNTIF(G3:G17,"L")</f>
        <v>0</v>
      </c>
      <c r="D18" s="4">
        <f>COUNTIF(H3:H17,"W")</f>
        <v>0</v>
      </c>
    </row>
  </sheetData>
  <sheetProtection selectLockedCells="1"/>
  <mergeCells count="8">
    <mergeCell ref="C9:C10"/>
    <mergeCell ref="D9:D10"/>
    <mergeCell ref="B1:E1"/>
    <mergeCell ref="B2:E2"/>
    <mergeCell ref="C3:C4"/>
    <mergeCell ref="D3:D4"/>
    <mergeCell ref="C6:C7"/>
    <mergeCell ref="D6:D7"/>
  </mergeCells>
  <dataValidations count="3">
    <dataValidation type="textLength" allowBlank="1" showInputMessage="1" showErrorMessage="1" promptTitle="No Entry" prompt="Erroneous entry" sqref="B3:B4 B6:B7 B9:B10 B12:B17" xr:uid="{8FC614B4-2B41-467B-92F1-A3499AA2EE31}">
      <formula1>0</formula1>
      <formula2>0</formula2>
    </dataValidation>
    <dataValidation type="list" allowBlank="1" showInputMessage="1" showErrorMessage="1" sqref="E12:E17 E3:E4 E6:E7 E9:E10" xr:uid="{7AC922BE-DCB4-4B36-9162-1D82D97933B0}">
      <formula1>PlayerName</formula1>
    </dataValidation>
    <dataValidation allowBlank="1" showInputMessage="1" showErrorMessage="1" sqref="C6:D7 C9:D10 C12:D17" xr:uid="{AFFA500A-4F18-4391-80BE-FA0623443C3B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Button 1">
              <controlPr defaultSize="0" print="0" autoFill="0" autoPict="0" macro="[0]!SubmitScores">
                <anchor moveWithCells="1" sizeWithCells="1">
                  <from>
                    <xdr:col>1</xdr:col>
                    <xdr:colOff>1009291</xdr:colOff>
                    <xdr:row>19</xdr:row>
                    <xdr:rowOff>8626</xdr:rowOff>
                  </from>
                  <to>
                    <xdr:col>3</xdr:col>
                    <xdr:colOff>646981</xdr:colOff>
                    <xdr:row>21</xdr:row>
                    <xdr:rowOff>8626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4" name="Button 2">
              <controlPr defaultSize="0" print="0" autoFill="0" autoPict="0" macro="[0]!GoToNavigation">
                <anchor moveWithCells="1" sizeWithCells="1">
                  <from>
                    <xdr:col>5</xdr:col>
                    <xdr:colOff>431321</xdr:colOff>
                    <xdr:row>0</xdr:row>
                    <xdr:rowOff>103517</xdr:rowOff>
                  </from>
                  <to>
                    <xdr:col>8</xdr:col>
                    <xdr:colOff>198408</xdr:colOff>
                    <xdr:row>0</xdr:row>
                    <xdr:rowOff>353683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D981-4A14-4A8B-9CAE-D41F2722B6CE}">
  <sheetPr codeName="AwayGame6"/>
  <dimension ref="A1:H18"/>
  <sheetViews>
    <sheetView workbookViewId="0">
      <selection activeCell="E21" sqref="E21"/>
    </sheetView>
  </sheetViews>
  <sheetFormatPr defaultRowHeight="14.3" x14ac:dyDescent="0.25"/>
  <cols>
    <col min="1" max="1" width="16.25" style="5" customWidth="1"/>
    <col min="2" max="2" width="22" customWidth="1"/>
    <col min="3" max="4" width="11.25" customWidth="1"/>
    <col min="5" max="5" width="22" customWidth="1"/>
  </cols>
  <sheetData>
    <row r="1" spans="1:8" ht="38.75" customHeight="1" thickTop="1" thickBot="1" x14ac:dyDescent="0.3">
      <c r="A1" s="3" t="s">
        <v>22</v>
      </c>
      <c r="B1" s="69" t="s">
        <v>95</v>
      </c>
      <c r="C1" s="70"/>
      <c r="D1" s="70"/>
      <c r="E1" s="71"/>
    </row>
    <row r="2" spans="1:8" ht="15.65" customHeight="1" thickTop="1" thickBot="1" x14ac:dyDescent="0.3">
      <c r="A2"/>
      <c r="B2" s="76" t="s">
        <v>81</v>
      </c>
      <c r="C2" s="76"/>
      <c r="D2" s="76"/>
      <c r="E2" s="76"/>
    </row>
    <row r="3" spans="1:8" ht="24.45" customHeight="1" x14ac:dyDescent="0.25">
      <c r="A3" s="4" t="s">
        <v>13</v>
      </c>
      <c r="B3" s="22"/>
      <c r="C3" s="77"/>
      <c r="D3" s="79"/>
      <c r="E3" s="30"/>
    </row>
    <row r="4" spans="1:8" ht="24.45" customHeight="1" thickBot="1" x14ac:dyDescent="0.3">
      <c r="A4" s="4"/>
      <c r="B4" s="23"/>
      <c r="C4" s="78"/>
      <c r="D4" s="80"/>
      <c r="E4" s="31"/>
      <c r="G4" t="str">
        <f>IF(C3=2,"L","")</f>
        <v/>
      </c>
      <c r="H4" t="str">
        <f>IF(D3=2,"W","")</f>
        <v/>
      </c>
    </row>
    <row r="5" spans="1:8" ht="11.55" customHeight="1" thickBot="1" x14ac:dyDescent="0.3"/>
    <row r="6" spans="1:8" ht="24.45" customHeight="1" x14ac:dyDescent="0.25">
      <c r="A6" s="4" t="s">
        <v>14</v>
      </c>
      <c r="B6" s="32"/>
      <c r="C6" s="72"/>
      <c r="D6" s="74"/>
      <c r="E6" s="24"/>
      <c r="G6" t="str">
        <f t="shared" ref="G6:G9" si="0">IF(C5=2,"W","")</f>
        <v/>
      </c>
      <c r="H6" t="str">
        <f t="shared" ref="H6" si="1">IF(D5=2,"L","")</f>
        <v/>
      </c>
    </row>
    <row r="7" spans="1:8" ht="24.45" customHeight="1" thickBot="1" x14ac:dyDescent="0.3">
      <c r="A7" s="4"/>
      <c r="B7" s="33"/>
      <c r="C7" s="73"/>
      <c r="D7" s="75"/>
      <c r="E7" s="25"/>
      <c r="G7" t="str">
        <f>IF(C6=2,"L","")</f>
        <v/>
      </c>
      <c r="H7" t="str">
        <f>IF(D6=2,"W","")</f>
        <v/>
      </c>
    </row>
    <row r="8" spans="1:8" ht="11.55" customHeight="1" thickBot="1" x14ac:dyDescent="0.3"/>
    <row r="9" spans="1:8" ht="24.45" customHeight="1" x14ac:dyDescent="0.25">
      <c r="A9" s="4" t="s">
        <v>15</v>
      </c>
      <c r="B9" s="32"/>
      <c r="C9" s="72"/>
      <c r="D9" s="74"/>
      <c r="E9" s="24"/>
      <c r="G9" t="str">
        <f t="shared" si="0"/>
        <v/>
      </c>
    </row>
    <row r="10" spans="1:8" ht="24.45" customHeight="1" thickBot="1" x14ac:dyDescent="0.3">
      <c r="A10" s="4"/>
      <c r="B10" s="33"/>
      <c r="C10" s="73"/>
      <c r="D10" s="75"/>
      <c r="E10" s="25"/>
      <c r="G10" t="str">
        <f>IF(C9=2,"L","")</f>
        <v/>
      </c>
      <c r="H10" t="str">
        <f>IF(D9=2,"W","")</f>
        <v/>
      </c>
    </row>
    <row r="11" spans="1:8" ht="11.55" customHeight="1" thickBot="1" x14ac:dyDescent="0.3"/>
    <row r="12" spans="1:8" ht="24.45" customHeight="1" thickBot="1" x14ac:dyDescent="0.3">
      <c r="A12" s="4" t="s">
        <v>16</v>
      </c>
      <c r="B12" s="36"/>
      <c r="C12" s="34"/>
      <c r="D12" s="38"/>
      <c r="E12" s="40"/>
      <c r="G12" t="str">
        <f>IF(C12=2,"L","")</f>
        <v/>
      </c>
      <c r="H12" t="str">
        <f>IF(D12=2,"W","")</f>
        <v/>
      </c>
    </row>
    <row r="13" spans="1:8" ht="24.45" customHeight="1" thickBot="1" x14ac:dyDescent="0.3">
      <c r="A13" s="4" t="s">
        <v>17</v>
      </c>
      <c r="B13" s="36"/>
      <c r="C13" s="34"/>
      <c r="D13" s="38"/>
      <c r="E13" s="40"/>
      <c r="G13" t="str">
        <f t="shared" ref="G13:G17" si="2">IF(C13=2,"L","")</f>
        <v/>
      </c>
      <c r="H13" t="str">
        <f t="shared" ref="H13:H17" si="3">IF(D13=2,"W","")</f>
        <v/>
      </c>
    </row>
    <row r="14" spans="1:8" ht="24.45" customHeight="1" thickBot="1" x14ac:dyDescent="0.3">
      <c r="A14" s="4" t="s">
        <v>18</v>
      </c>
      <c r="B14" s="36"/>
      <c r="C14" s="34"/>
      <c r="D14" s="38"/>
      <c r="E14" s="40"/>
      <c r="G14" t="str">
        <f t="shared" si="2"/>
        <v/>
      </c>
      <c r="H14" t="str">
        <f t="shared" si="3"/>
        <v/>
      </c>
    </row>
    <row r="15" spans="1:8" ht="24.45" customHeight="1" thickBot="1" x14ac:dyDescent="0.3">
      <c r="A15" s="4" t="s">
        <v>19</v>
      </c>
      <c r="B15" s="36"/>
      <c r="C15" s="34"/>
      <c r="D15" s="38"/>
      <c r="E15" s="40"/>
      <c r="G15" t="str">
        <f t="shared" si="2"/>
        <v/>
      </c>
      <c r="H15" t="str">
        <f t="shared" si="3"/>
        <v/>
      </c>
    </row>
    <row r="16" spans="1:8" ht="24.45" customHeight="1" thickBot="1" x14ac:dyDescent="0.3">
      <c r="A16" s="4" t="s">
        <v>20</v>
      </c>
      <c r="B16" s="36"/>
      <c r="C16" s="34"/>
      <c r="D16" s="38"/>
      <c r="E16" s="40"/>
      <c r="G16" t="str">
        <f t="shared" si="2"/>
        <v/>
      </c>
      <c r="H16" t="str">
        <f t="shared" si="3"/>
        <v/>
      </c>
    </row>
    <row r="17" spans="1:8" ht="24.45" customHeight="1" thickBot="1" x14ac:dyDescent="0.3">
      <c r="A17" s="4" t="s">
        <v>21</v>
      </c>
      <c r="B17" s="37"/>
      <c r="C17" s="35"/>
      <c r="D17" s="39"/>
      <c r="E17" s="41"/>
      <c r="G17" t="str">
        <f t="shared" si="2"/>
        <v/>
      </c>
      <c r="H17" t="str">
        <f t="shared" si="3"/>
        <v/>
      </c>
    </row>
    <row r="18" spans="1:8" x14ac:dyDescent="0.25">
      <c r="C18" s="4">
        <f>COUNTIF(G3:G17,"L")</f>
        <v>0</v>
      </c>
      <c r="D18" s="4">
        <f>COUNTIF(H3:H17,"W")</f>
        <v>0</v>
      </c>
    </row>
  </sheetData>
  <sheetProtection selectLockedCells="1"/>
  <mergeCells count="8">
    <mergeCell ref="C9:C10"/>
    <mergeCell ref="D9:D10"/>
    <mergeCell ref="B1:E1"/>
    <mergeCell ref="B2:E2"/>
    <mergeCell ref="C3:C4"/>
    <mergeCell ref="D3:D4"/>
    <mergeCell ref="C6:C7"/>
    <mergeCell ref="D6:D7"/>
  </mergeCells>
  <dataValidations count="3">
    <dataValidation type="textLength" allowBlank="1" showInputMessage="1" showErrorMessage="1" promptTitle="No Entry" prompt="Erroneous entry" sqref="B3:B4 B6:B7 B9:B10 B12:B17" xr:uid="{B213FD16-A3DC-4C1E-B8C3-6C400089AF29}">
      <formula1>0</formula1>
      <formula2>0</formula2>
    </dataValidation>
    <dataValidation type="list" allowBlank="1" showInputMessage="1" showErrorMessage="1" sqref="E12:E17 E3:E4 E6:E7 E9:E10" xr:uid="{82A06400-5BFA-4534-A4B0-76326A47A7A6}">
      <formula1>PlayerName</formula1>
    </dataValidation>
    <dataValidation allowBlank="1" showInputMessage="1" showErrorMessage="1" sqref="C6:D7 C9:D10 C12:D17" xr:uid="{02FCE7E6-CC7A-48C5-B805-D22312EA23DB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Button 1">
              <controlPr defaultSize="0" print="0" autoFill="0" autoPict="0" macro="[0]!SubmitScores">
                <anchor moveWithCells="1" sizeWithCells="1">
                  <from>
                    <xdr:col>1</xdr:col>
                    <xdr:colOff>1009291</xdr:colOff>
                    <xdr:row>19</xdr:row>
                    <xdr:rowOff>8626</xdr:rowOff>
                  </from>
                  <to>
                    <xdr:col>3</xdr:col>
                    <xdr:colOff>646981</xdr:colOff>
                    <xdr:row>21</xdr:row>
                    <xdr:rowOff>8626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4" name="Button 2">
              <controlPr defaultSize="0" print="0" autoFill="0" autoPict="0" macro="[0]!GoToNavigation">
                <anchor moveWithCells="1" sizeWithCells="1">
                  <from>
                    <xdr:col>5</xdr:col>
                    <xdr:colOff>431321</xdr:colOff>
                    <xdr:row>0</xdr:row>
                    <xdr:rowOff>103517</xdr:rowOff>
                  </from>
                  <to>
                    <xdr:col>8</xdr:col>
                    <xdr:colOff>198408</xdr:colOff>
                    <xdr:row>0</xdr:row>
                    <xdr:rowOff>353683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F14C-B6DF-47BE-AEF0-9C740CB84AFB}">
  <sheetPr codeName="AwayGame7"/>
  <dimension ref="A1:H18"/>
  <sheetViews>
    <sheetView workbookViewId="0">
      <selection activeCell="E21" sqref="E21"/>
    </sheetView>
  </sheetViews>
  <sheetFormatPr defaultRowHeight="14.3" x14ac:dyDescent="0.25"/>
  <cols>
    <col min="1" max="1" width="16.25" style="5" customWidth="1"/>
    <col min="2" max="2" width="22" customWidth="1"/>
    <col min="3" max="4" width="11.25" customWidth="1"/>
    <col min="5" max="5" width="22" customWidth="1"/>
  </cols>
  <sheetData>
    <row r="1" spans="1:8" ht="38.75" customHeight="1" thickTop="1" thickBot="1" x14ac:dyDescent="0.3">
      <c r="A1" s="3" t="s">
        <v>22</v>
      </c>
      <c r="B1" s="69" t="s">
        <v>96</v>
      </c>
      <c r="C1" s="70"/>
      <c r="D1" s="70"/>
      <c r="E1" s="71"/>
    </row>
    <row r="2" spans="1:8" ht="15.65" customHeight="1" thickTop="1" thickBot="1" x14ac:dyDescent="0.3">
      <c r="A2"/>
      <c r="B2" s="76" t="s">
        <v>81</v>
      </c>
      <c r="C2" s="76"/>
      <c r="D2" s="76"/>
      <c r="E2" s="76"/>
    </row>
    <row r="3" spans="1:8" ht="24.45" customHeight="1" x14ac:dyDescent="0.25">
      <c r="A3" s="4" t="s">
        <v>13</v>
      </c>
      <c r="B3" s="22"/>
      <c r="C3" s="77"/>
      <c r="D3" s="79"/>
      <c r="E3" s="30"/>
    </row>
    <row r="4" spans="1:8" ht="24.45" customHeight="1" thickBot="1" x14ac:dyDescent="0.3">
      <c r="A4" s="4"/>
      <c r="B4" s="23"/>
      <c r="C4" s="78"/>
      <c r="D4" s="80"/>
      <c r="E4" s="31"/>
      <c r="G4" t="str">
        <f>IF(C3=2,"L","")</f>
        <v/>
      </c>
      <c r="H4" t="str">
        <f>IF(D3=2,"W","")</f>
        <v/>
      </c>
    </row>
    <row r="5" spans="1:8" ht="11.55" customHeight="1" thickBot="1" x14ac:dyDescent="0.3"/>
    <row r="6" spans="1:8" ht="24.45" customHeight="1" x14ac:dyDescent="0.25">
      <c r="A6" s="4" t="s">
        <v>14</v>
      </c>
      <c r="B6" s="32"/>
      <c r="C6" s="72"/>
      <c r="D6" s="74"/>
      <c r="E6" s="24"/>
      <c r="G6" t="str">
        <f t="shared" ref="G6:G9" si="0">IF(C5=2,"W","")</f>
        <v/>
      </c>
      <c r="H6" t="str">
        <f t="shared" ref="H6" si="1">IF(D5=2,"L","")</f>
        <v/>
      </c>
    </row>
    <row r="7" spans="1:8" ht="24.45" customHeight="1" thickBot="1" x14ac:dyDescent="0.3">
      <c r="A7" s="4"/>
      <c r="B7" s="33"/>
      <c r="C7" s="73"/>
      <c r="D7" s="75"/>
      <c r="E7" s="25"/>
      <c r="G7" t="str">
        <f>IF(C6=2,"L","")</f>
        <v/>
      </c>
      <c r="H7" t="str">
        <f>IF(D6=2,"W","")</f>
        <v/>
      </c>
    </row>
    <row r="8" spans="1:8" ht="11.55" customHeight="1" thickBot="1" x14ac:dyDescent="0.3"/>
    <row r="9" spans="1:8" ht="24.45" customHeight="1" x14ac:dyDescent="0.25">
      <c r="A9" s="4" t="s">
        <v>15</v>
      </c>
      <c r="B9" s="32"/>
      <c r="C9" s="72"/>
      <c r="D9" s="74"/>
      <c r="E9" s="24"/>
      <c r="G9" t="str">
        <f t="shared" si="0"/>
        <v/>
      </c>
    </row>
    <row r="10" spans="1:8" ht="24.45" customHeight="1" thickBot="1" x14ac:dyDescent="0.3">
      <c r="A10" s="4"/>
      <c r="B10" s="33"/>
      <c r="C10" s="73"/>
      <c r="D10" s="75"/>
      <c r="E10" s="25"/>
      <c r="G10" t="str">
        <f>IF(C9=2,"L","")</f>
        <v/>
      </c>
      <c r="H10" t="str">
        <f>IF(D9=2,"W","")</f>
        <v/>
      </c>
    </row>
    <row r="11" spans="1:8" ht="11.55" customHeight="1" thickBot="1" x14ac:dyDescent="0.3"/>
    <row r="12" spans="1:8" ht="24.45" customHeight="1" thickBot="1" x14ac:dyDescent="0.3">
      <c r="A12" s="4" t="s">
        <v>16</v>
      </c>
      <c r="B12" s="36"/>
      <c r="C12" s="34"/>
      <c r="D12" s="38"/>
      <c r="E12" s="40"/>
      <c r="G12" t="str">
        <f>IF(C12=2,"L","")</f>
        <v/>
      </c>
      <c r="H12" t="str">
        <f>IF(D12=2,"W","")</f>
        <v/>
      </c>
    </row>
    <row r="13" spans="1:8" ht="24.45" customHeight="1" thickBot="1" x14ac:dyDescent="0.3">
      <c r="A13" s="4" t="s">
        <v>17</v>
      </c>
      <c r="B13" s="36"/>
      <c r="C13" s="34"/>
      <c r="D13" s="38"/>
      <c r="E13" s="40"/>
      <c r="G13" t="str">
        <f t="shared" ref="G13:G17" si="2">IF(C13=2,"L","")</f>
        <v/>
      </c>
      <c r="H13" t="str">
        <f t="shared" ref="H13:H17" si="3">IF(D13=2,"W","")</f>
        <v/>
      </c>
    </row>
    <row r="14" spans="1:8" ht="24.45" customHeight="1" thickBot="1" x14ac:dyDescent="0.3">
      <c r="A14" s="4" t="s">
        <v>18</v>
      </c>
      <c r="B14" s="36"/>
      <c r="C14" s="34"/>
      <c r="D14" s="38"/>
      <c r="E14" s="40"/>
      <c r="G14" t="str">
        <f t="shared" si="2"/>
        <v/>
      </c>
      <c r="H14" t="str">
        <f t="shared" si="3"/>
        <v/>
      </c>
    </row>
    <row r="15" spans="1:8" ht="24.45" customHeight="1" thickBot="1" x14ac:dyDescent="0.3">
      <c r="A15" s="4" t="s">
        <v>19</v>
      </c>
      <c r="B15" s="36"/>
      <c r="C15" s="34"/>
      <c r="D15" s="38"/>
      <c r="E15" s="40"/>
      <c r="G15" t="str">
        <f t="shared" si="2"/>
        <v/>
      </c>
      <c r="H15" t="str">
        <f t="shared" si="3"/>
        <v/>
      </c>
    </row>
    <row r="16" spans="1:8" ht="24.45" customHeight="1" thickBot="1" x14ac:dyDescent="0.3">
      <c r="A16" s="4" t="s">
        <v>20</v>
      </c>
      <c r="B16" s="36"/>
      <c r="C16" s="34"/>
      <c r="D16" s="38"/>
      <c r="E16" s="40"/>
      <c r="G16" t="str">
        <f t="shared" si="2"/>
        <v/>
      </c>
      <c r="H16" t="str">
        <f t="shared" si="3"/>
        <v/>
      </c>
    </row>
    <row r="17" spans="1:8" ht="24.45" customHeight="1" thickBot="1" x14ac:dyDescent="0.3">
      <c r="A17" s="4" t="s">
        <v>21</v>
      </c>
      <c r="B17" s="37"/>
      <c r="C17" s="35"/>
      <c r="D17" s="39"/>
      <c r="E17" s="41"/>
      <c r="G17" t="str">
        <f t="shared" si="2"/>
        <v/>
      </c>
      <c r="H17" t="str">
        <f t="shared" si="3"/>
        <v/>
      </c>
    </row>
    <row r="18" spans="1:8" x14ac:dyDescent="0.25">
      <c r="C18" s="4">
        <f>COUNTIF(G3:G17,"L")</f>
        <v>0</v>
      </c>
      <c r="D18" s="4">
        <f>COUNTIF(H3:H17,"W")</f>
        <v>0</v>
      </c>
    </row>
  </sheetData>
  <sheetProtection selectLockedCells="1"/>
  <mergeCells count="8">
    <mergeCell ref="C9:C10"/>
    <mergeCell ref="D9:D10"/>
    <mergeCell ref="B1:E1"/>
    <mergeCell ref="B2:E2"/>
    <mergeCell ref="C3:C4"/>
    <mergeCell ref="D3:D4"/>
    <mergeCell ref="C6:C7"/>
    <mergeCell ref="D6:D7"/>
  </mergeCells>
  <dataValidations count="3">
    <dataValidation type="textLength" allowBlank="1" showInputMessage="1" showErrorMessage="1" promptTitle="No Entry" prompt="Erroneous entry" sqref="B3:B4 B6:B7 B9:B10 B12:B17" xr:uid="{A4400202-D050-4A57-A214-290F719B052A}">
      <formula1>0</formula1>
      <formula2>0</formula2>
    </dataValidation>
    <dataValidation type="list" allowBlank="1" showInputMessage="1" showErrorMessage="1" sqref="E12:E17 E3:E4 E6:E7 E9:E10" xr:uid="{D9ED84E3-115A-4FDF-B07A-20AD95881358}">
      <formula1>PlayerName</formula1>
    </dataValidation>
    <dataValidation allowBlank="1" showInputMessage="1" showErrorMessage="1" sqref="C6:D7 C9:D10 C12:D17" xr:uid="{32D2B501-D7B8-4CA6-9BD8-FA9CED2B42DE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Button 1">
              <controlPr defaultSize="0" print="0" autoFill="0" autoPict="0" macro="[0]!SubmitScores">
                <anchor moveWithCells="1" sizeWithCells="1">
                  <from>
                    <xdr:col>1</xdr:col>
                    <xdr:colOff>1009291</xdr:colOff>
                    <xdr:row>19</xdr:row>
                    <xdr:rowOff>8626</xdr:rowOff>
                  </from>
                  <to>
                    <xdr:col>3</xdr:col>
                    <xdr:colOff>646981</xdr:colOff>
                    <xdr:row>21</xdr:row>
                    <xdr:rowOff>8626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GoToNavigation">
                <anchor moveWithCells="1" sizeWithCells="1">
                  <from>
                    <xdr:col>5</xdr:col>
                    <xdr:colOff>431321</xdr:colOff>
                    <xdr:row>0</xdr:row>
                    <xdr:rowOff>103517</xdr:rowOff>
                  </from>
                  <to>
                    <xdr:col>8</xdr:col>
                    <xdr:colOff>198408</xdr:colOff>
                    <xdr:row>0</xdr:row>
                    <xdr:rowOff>353683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105</vt:i4>
      </vt:variant>
    </vt:vector>
  </HeadingPairs>
  <TitlesOfParts>
    <vt:vector size="132" baseType="lpstr">
      <vt:lpstr>Pairings</vt:lpstr>
      <vt:lpstr>Admin</vt:lpstr>
      <vt:lpstr>Players</vt:lpstr>
      <vt:lpstr>Teams</vt:lpstr>
      <vt:lpstr>Fixtures</vt:lpstr>
      <vt:lpstr>Player Wins-Losses</vt:lpstr>
      <vt:lpstr>Ongoing</vt:lpstr>
      <vt:lpstr>AwayGame</vt:lpstr>
      <vt:lpstr>HomeGame</vt:lpstr>
      <vt:lpstr>Navigation</vt:lpstr>
      <vt:lpstr>Reporter</vt:lpstr>
      <vt:lpstr>Scores</vt:lpstr>
      <vt:lpstr>20-01-2025 - Fulflood A</vt:lpstr>
      <vt:lpstr>27-01-2025 - Coach &amp; Horses</vt:lpstr>
      <vt:lpstr>03-02-2025 - Weeke A</vt:lpstr>
      <vt:lpstr>10-02-2025 - Team Knockout</vt:lpstr>
      <vt:lpstr>17-02-2025 - Sportsmans Misfits</vt:lpstr>
      <vt:lpstr>10-03-2025 - Worthies</vt:lpstr>
      <vt:lpstr>24-03-2025 - Weeke B</vt:lpstr>
      <vt:lpstr>31-03-2025 - Weeke Wintonians</vt:lpstr>
      <vt:lpstr>14-04-2025 - Fulflood A</vt:lpstr>
      <vt:lpstr>21-04-2025 - Coach &amp; Horses</vt:lpstr>
      <vt:lpstr>28-04-2025 - Weeke A</vt:lpstr>
      <vt:lpstr>19-05-2025 - Sportsmans Misfits</vt:lpstr>
      <vt:lpstr>02-06-2025 - Worthies</vt:lpstr>
      <vt:lpstr>16-06-2025 - Weeke B</vt:lpstr>
      <vt:lpstr>30-06-2025 - Weeke Wintonians</vt:lpstr>
      <vt:lpstr>DP_Adam</vt:lpstr>
      <vt:lpstr>DP_Brian</vt:lpstr>
      <vt:lpstr>DP_Callum</vt:lpstr>
      <vt:lpstr>DP_DanC</vt:lpstr>
      <vt:lpstr>DP_DanH</vt:lpstr>
      <vt:lpstr>DP_Dave</vt:lpstr>
      <vt:lpstr>DP_Jim</vt:lpstr>
      <vt:lpstr>DP_John</vt:lpstr>
      <vt:lpstr>DP_Keith</vt:lpstr>
      <vt:lpstr>DP_Les</vt:lpstr>
      <vt:lpstr>DP_Mark</vt:lpstr>
      <vt:lpstr>DP_Neil</vt:lpstr>
      <vt:lpstr>DP_Scott</vt:lpstr>
      <vt:lpstr>DW_Adam</vt:lpstr>
      <vt:lpstr>DW_Brian</vt:lpstr>
      <vt:lpstr>DW_Callum</vt:lpstr>
      <vt:lpstr>DW_DanC</vt:lpstr>
      <vt:lpstr>DW_DanH</vt:lpstr>
      <vt:lpstr>DW_Dave</vt:lpstr>
      <vt:lpstr>DW_Jim</vt:lpstr>
      <vt:lpstr>DW_John</vt:lpstr>
      <vt:lpstr>DW_Keith</vt:lpstr>
      <vt:lpstr>DW_Les</vt:lpstr>
      <vt:lpstr>DW_Mark</vt:lpstr>
      <vt:lpstr>DW_Neil</vt:lpstr>
      <vt:lpstr>DW_Scott</vt:lpstr>
      <vt:lpstr>OP_Adam</vt:lpstr>
      <vt:lpstr>OP_Brian</vt:lpstr>
      <vt:lpstr>OP_Callum</vt:lpstr>
      <vt:lpstr>OP_DanC</vt:lpstr>
      <vt:lpstr>OP_DanH</vt:lpstr>
      <vt:lpstr>OP_Dave</vt:lpstr>
      <vt:lpstr>OP_Jim</vt:lpstr>
      <vt:lpstr>OP_John</vt:lpstr>
      <vt:lpstr>OP_Keith</vt:lpstr>
      <vt:lpstr>OP_Les</vt:lpstr>
      <vt:lpstr>OP_Mark</vt:lpstr>
      <vt:lpstr>OP_Neil</vt:lpstr>
      <vt:lpstr>OP_Scott</vt:lpstr>
      <vt:lpstr>OW_Adam</vt:lpstr>
      <vt:lpstr>OW_Brian</vt:lpstr>
      <vt:lpstr>OW_Callum</vt:lpstr>
      <vt:lpstr>OW_DanC</vt:lpstr>
      <vt:lpstr>OW_DanH</vt:lpstr>
      <vt:lpstr>OW_Dave</vt:lpstr>
      <vt:lpstr>OW_Jim</vt:lpstr>
      <vt:lpstr>OW_John</vt:lpstr>
      <vt:lpstr>OW_Keith</vt:lpstr>
      <vt:lpstr>OW_Les</vt:lpstr>
      <vt:lpstr>OW_Mark</vt:lpstr>
      <vt:lpstr>OW_Neil</vt:lpstr>
      <vt:lpstr>OW_Scott</vt:lpstr>
      <vt:lpstr>PL_Adam</vt:lpstr>
      <vt:lpstr>PL_Brian</vt:lpstr>
      <vt:lpstr>PL_Callum</vt:lpstr>
      <vt:lpstr>PL_DanC</vt:lpstr>
      <vt:lpstr>PL_DanH</vt:lpstr>
      <vt:lpstr>PL_Dave</vt:lpstr>
      <vt:lpstr>PL_Jim</vt:lpstr>
      <vt:lpstr>PL_John</vt:lpstr>
      <vt:lpstr>PL_Keith</vt:lpstr>
      <vt:lpstr>PL_Les</vt:lpstr>
      <vt:lpstr>PL_Mark</vt:lpstr>
      <vt:lpstr>PL_Neil</vt:lpstr>
      <vt:lpstr>PL_Scott</vt:lpstr>
      <vt:lpstr>SC_Adam</vt:lpstr>
      <vt:lpstr>SC_Brian</vt:lpstr>
      <vt:lpstr>SC_Callum</vt:lpstr>
      <vt:lpstr>SC_DanC</vt:lpstr>
      <vt:lpstr>SC_DanH</vt:lpstr>
      <vt:lpstr>SC_Dave</vt:lpstr>
      <vt:lpstr>SC_Jim</vt:lpstr>
      <vt:lpstr>SC_John</vt:lpstr>
      <vt:lpstr>SC_Keith</vt:lpstr>
      <vt:lpstr>SC_Les</vt:lpstr>
      <vt:lpstr>SC_Mark</vt:lpstr>
      <vt:lpstr>SC_Neil</vt:lpstr>
      <vt:lpstr>SC_Scott</vt:lpstr>
      <vt:lpstr>SP_Adam</vt:lpstr>
      <vt:lpstr>SP_Brian</vt:lpstr>
      <vt:lpstr>SP_Callum</vt:lpstr>
      <vt:lpstr>SP_DanC</vt:lpstr>
      <vt:lpstr>SP_DanH</vt:lpstr>
      <vt:lpstr>SP_Dave</vt:lpstr>
      <vt:lpstr>SP_Jim</vt:lpstr>
      <vt:lpstr>SP_John</vt:lpstr>
      <vt:lpstr>SP_Keith</vt:lpstr>
      <vt:lpstr>SP_Les</vt:lpstr>
      <vt:lpstr>SP_Mark</vt:lpstr>
      <vt:lpstr>SP_Neil</vt:lpstr>
      <vt:lpstr>SP_Scott</vt:lpstr>
      <vt:lpstr>SW_Adam</vt:lpstr>
      <vt:lpstr>SW_Brian</vt:lpstr>
      <vt:lpstr>SW_Callum</vt:lpstr>
      <vt:lpstr>SW_DanC</vt:lpstr>
      <vt:lpstr>SW_DanH</vt:lpstr>
      <vt:lpstr>SW_Dave</vt:lpstr>
      <vt:lpstr>SW_Jim</vt:lpstr>
      <vt:lpstr>SW_John</vt:lpstr>
      <vt:lpstr>SW_Keith</vt:lpstr>
      <vt:lpstr>SW_Les</vt:lpstr>
      <vt:lpstr>SW_Mark</vt:lpstr>
      <vt:lpstr>SW_Neil</vt:lpstr>
      <vt:lpstr>SW_Scott</vt:lpstr>
      <vt:lpstr>TeamName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Anderson</dc:creator>
  <cp:lastModifiedBy>David Anderson</cp:lastModifiedBy>
  <cp:lastPrinted>2025-02-18T16:52:37Z</cp:lastPrinted>
  <dcterms:created xsi:type="dcterms:W3CDTF">2024-12-04T16:11:50Z</dcterms:created>
  <dcterms:modified xsi:type="dcterms:W3CDTF">2025-02-18T16:53:26Z</dcterms:modified>
</cp:coreProperties>
</file>